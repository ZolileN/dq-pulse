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ruminstitute4-my.sharepoint.com/personal/znonzapa_auruminstitute_org/Documents/Documents/DQAs/"/>
    </mc:Choice>
  </mc:AlternateContent>
  <xr:revisionPtr revIDLastSave="46" documentId="8_{4DF496AD-6935-4F57-BD64-68CA4763E1AA}" xr6:coauthVersionLast="47" xr6:coauthVersionMax="47" xr10:uidLastSave="{5A3F4E44-2A0F-4B2A-89C8-67295773BA17}"/>
  <bookViews>
    <workbookView xWindow="-108" yWindow="-108" windowWidth="23256" windowHeight="12456" activeTab="4" xr2:uid="{10BAC3B0-6A2F-4C5D-8A4A-79287FAFAF72}"/>
  </bookViews>
  <sheets>
    <sheet name="Instructions" sheetId="1" r:id="rId1"/>
    <sheet name="ICD10 codes" sheetId="8" r:id="rId2"/>
    <sheet name="Quality assurance" sheetId="7" r:id="rId3"/>
    <sheet name="TB stationery checklist" sheetId="9" r:id="rId4"/>
    <sheet name="Before" sheetId="2" r:id="rId5"/>
    <sheet name="After" sheetId="3" r:id="rId6"/>
    <sheet name="Training" sheetId="5" r:id="rId7"/>
    <sheet name="Training validation sheet" sheetId="6" state="hidden" r:id="rId8"/>
    <sheet name="Power  Query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" i="4" l="1"/>
  <c r="V56" i="4"/>
  <c r="V57" i="4"/>
  <c r="V58" i="4"/>
  <c r="V59" i="4"/>
  <c r="V60" i="4"/>
  <c r="V61" i="4"/>
  <c r="V62" i="4"/>
  <c r="U56" i="4"/>
  <c r="U57" i="4"/>
  <c r="U58" i="4"/>
  <c r="U59" i="4"/>
  <c r="U60" i="4"/>
  <c r="U61" i="4"/>
  <c r="U62" i="4"/>
  <c r="U55" i="4"/>
  <c r="N56" i="4"/>
  <c r="N57" i="4"/>
  <c r="N58" i="4"/>
  <c r="N59" i="4"/>
  <c r="N60" i="4"/>
  <c r="N61" i="4"/>
  <c r="N62" i="4"/>
  <c r="N55" i="4"/>
  <c r="L56" i="4"/>
  <c r="L57" i="4"/>
  <c r="L58" i="4"/>
  <c r="L59" i="4"/>
  <c r="L60" i="4"/>
  <c r="L61" i="4"/>
  <c r="L62" i="4"/>
  <c r="L55" i="4"/>
  <c r="F55" i="4"/>
  <c r="F56" i="4"/>
  <c r="F57" i="4"/>
  <c r="F58" i="4"/>
  <c r="F59" i="4"/>
  <c r="F60" i="4"/>
  <c r="F61" i="4"/>
  <c r="F62" i="4"/>
  <c r="M56" i="4"/>
  <c r="M57" i="4"/>
  <c r="M58" i="4"/>
  <c r="M59" i="4"/>
  <c r="M60" i="4"/>
  <c r="M61" i="4"/>
  <c r="M62" i="4"/>
  <c r="M55" i="4"/>
  <c r="B55" i="4"/>
  <c r="C55" i="4"/>
  <c r="D55" i="4"/>
  <c r="E55" i="4"/>
  <c r="G55" i="4"/>
  <c r="H55" i="4"/>
  <c r="I55" i="4"/>
  <c r="J55" i="4"/>
  <c r="B56" i="4"/>
  <c r="C56" i="4"/>
  <c r="D56" i="4"/>
  <c r="E56" i="4"/>
  <c r="G56" i="4"/>
  <c r="H56" i="4"/>
  <c r="I56" i="4"/>
  <c r="J56" i="4"/>
  <c r="B57" i="4"/>
  <c r="C57" i="4"/>
  <c r="D57" i="4"/>
  <c r="E57" i="4"/>
  <c r="G57" i="4"/>
  <c r="H57" i="4"/>
  <c r="I57" i="4"/>
  <c r="J57" i="4"/>
  <c r="B58" i="4"/>
  <c r="C58" i="4"/>
  <c r="D58" i="4"/>
  <c r="E58" i="4"/>
  <c r="G58" i="4"/>
  <c r="H58" i="4"/>
  <c r="I58" i="4"/>
  <c r="J58" i="4"/>
  <c r="B59" i="4"/>
  <c r="C59" i="4"/>
  <c r="D59" i="4"/>
  <c r="E59" i="4"/>
  <c r="G59" i="4"/>
  <c r="H59" i="4"/>
  <c r="I59" i="4"/>
  <c r="J59" i="4"/>
  <c r="B60" i="4"/>
  <c r="C60" i="4"/>
  <c r="D60" i="4"/>
  <c r="E60" i="4"/>
  <c r="G60" i="4"/>
  <c r="H60" i="4"/>
  <c r="I60" i="4"/>
  <c r="J60" i="4"/>
  <c r="B61" i="4"/>
  <c r="C61" i="4"/>
  <c r="D61" i="4"/>
  <c r="E61" i="4"/>
  <c r="G61" i="4"/>
  <c r="H61" i="4"/>
  <c r="I61" i="4"/>
  <c r="J61" i="4"/>
  <c r="B62" i="4"/>
  <c r="C62" i="4"/>
  <c r="D62" i="4"/>
  <c r="E62" i="4"/>
  <c r="G62" i="4"/>
  <c r="H62" i="4"/>
  <c r="I62" i="4"/>
  <c r="J62" i="4"/>
  <c r="D50" i="4"/>
  <c r="E50" i="4"/>
  <c r="B50" i="4"/>
  <c r="C50" i="4"/>
  <c r="B51" i="4"/>
  <c r="C51" i="4"/>
  <c r="B52" i="4"/>
  <c r="C52" i="4"/>
  <c r="B53" i="4"/>
  <c r="C53" i="4"/>
  <c r="B54" i="4"/>
  <c r="C54" i="4"/>
  <c r="N50" i="4"/>
  <c r="M50" i="4"/>
  <c r="F50" i="4"/>
  <c r="G50" i="4"/>
  <c r="H50" i="4"/>
  <c r="I50" i="4"/>
  <c r="J50" i="4"/>
  <c r="D24" i="2"/>
  <c r="N36" i="4" s="1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" i="7"/>
  <c r="A3" i="7"/>
  <c r="A39" i="7"/>
  <c r="C39" i="7"/>
  <c r="A40" i="7"/>
  <c r="C40" i="7"/>
  <c r="A41" i="7"/>
  <c r="A42" i="7"/>
  <c r="A43" i="7"/>
  <c r="A44" i="7"/>
  <c r="A45" i="7"/>
  <c r="A46" i="7"/>
  <c r="A47" i="7"/>
  <c r="A48" i="7"/>
  <c r="A49" i="7"/>
  <c r="A50" i="7"/>
  <c r="A51" i="7"/>
  <c r="D51" i="7"/>
  <c r="A52" i="7"/>
  <c r="D52" i="7"/>
  <c r="A53" i="7"/>
  <c r="D53" i="7"/>
  <c r="A54" i="7"/>
  <c r="D54" i="7"/>
  <c r="N52" i="4"/>
  <c r="N53" i="4"/>
  <c r="N54" i="4"/>
  <c r="N51" i="4"/>
  <c r="M52" i="4"/>
  <c r="C52" i="7" s="1"/>
  <c r="M53" i="4"/>
  <c r="C53" i="7" s="1"/>
  <c r="M54" i="4"/>
  <c r="C54" i="7" s="1"/>
  <c r="M51" i="4"/>
  <c r="C51" i="7" s="1"/>
  <c r="D51" i="4"/>
  <c r="E51" i="4"/>
  <c r="F51" i="4"/>
  <c r="G51" i="4"/>
  <c r="H51" i="4"/>
  <c r="I51" i="4"/>
  <c r="J51" i="4"/>
  <c r="D52" i="4"/>
  <c r="E52" i="4"/>
  <c r="F52" i="4"/>
  <c r="G52" i="4"/>
  <c r="H52" i="4"/>
  <c r="I52" i="4"/>
  <c r="J52" i="4"/>
  <c r="D53" i="4"/>
  <c r="E53" i="4"/>
  <c r="F53" i="4"/>
  <c r="G53" i="4"/>
  <c r="H53" i="4"/>
  <c r="I53" i="4"/>
  <c r="J53" i="4"/>
  <c r="D54" i="4"/>
  <c r="E54" i="4"/>
  <c r="F54" i="4"/>
  <c r="G54" i="4"/>
  <c r="H54" i="4"/>
  <c r="I54" i="4"/>
  <c r="J54" i="4"/>
  <c r="N64" i="4"/>
  <c r="A33" i="7"/>
  <c r="C33" i="7"/>
  <c r="A34" i="7"/>
  <c r="C34" i="7"/>
  <c r="A35" i="7"/>
  <c r="C35" i="7"/>
  <c r="A36" i="7"/>
  <c r="C36" i="7"/>
  <c r="A37" i="7"/>
  <c r="C37" i="7"/>
  <c r="A38" i="7"/>
  <c r="C38" i="7"/>
  <c r="A28" i="7"/>
  <c r="D28" i="7"/>
  <c r="E28" i="7"/>
  <c r="G28" i="7"/>
  <c r="H28" i="7"/>
  <c r="A29" i="7"/>
  <c r="C29" i="7"/>
  <c r="A30" i="7"/>
  <c r="C30" i="7"/>
  <c r="A31" i="7"/>
  <c r="C31" i="7"/>
  <c r="A32" i="7"/>
  <c r="C32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D18" i="7"/>
  <c r="E18" i="7"/>
  <c r="G18" i="7"/>
  <c r="H18" i="7"/>
  <c r="A19" i="7"/>
  <c r="D19" i="7"/>
  <c r="E19" i="7"/>
  <c r="G19" i="7"/>
  <c r="H19" i="7"/>
  <c r="A20" i="7"/>
  <c r="D20" i="7"/>
  <c r="E20" i="7"/>
  <c r="G20" i="7"/>
  <c r="H20" i="7"/>
  <c r="I20" i="7" s="1" a="1"/>
  <c r="I20" i="7" s="1"/>
  <c r="A21" i="7"/>
  <c r="D21" i="7"/>
  <c r="E21" i="7"/>
  <c r="G21" i="7"/>
  <c r="H21" i="7"/>
  <c r="A22" i="7"/>
  <c r="D22" i="7"/>
  <c r="E22" i="7"/>
  <c r="G22" i="7"/>
  <c r="H22" i="7"/>
  <c r="I22" i="7" s="1" a="1"/>
  <c r="I22" i="7" s="1"/>
  <c r="A23" i="7"/>
  <c r="D23" i="7"/>
  <c r="E23" i="7"/>
  <c r="G23" i="7"/>
  <c r="H23" i="7"/>
  <c r="A24" i="7"/>
  <c r="D24" i="7"/>
  <c r="E24" i="7"/>
  <c r="G24" i="7"/>
  <c r="H24" i="7"/>
  <c r="A25" i="7"/>
  <c r="D25" i="7"/>
  <c r="E25" i="7"/>
  <c r="G25" i="7"/>
  <c r="H25" i="7"/>
  <c r="A26" i="7"/>
  <c r="D26" i="7"/>
  <c r="E26" i="7"/>
  <c r="G26" i="7"/>
  <c r="H26" i="7"/>
  <c r="A27" i="7"/>
  <c r="D27" i="7"/>
  <c r="E27" i="7"/>
  <c r="G27" i="7"/>
  <c r="H27" i="7"/>
  <c r="A4" i="7"/>
  <c r="G1" i="7"/>
  <c r="D1" i="7"/>
  <c r="C1" i="7"/>
  <c r="A1" i="7"/>
  <c r="F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3" i="4"/>
  <c r="N17" i="4"/>
  <c r="P48" i="4"/>
  <c r="D49" i="7" s="1"/>
  <c r="P49" i="4"/>
  <c r="D50" i="7" s="1"/>
  <c r="P110" i="4"/>
  <c r="E50" i="7" s="1"/>
  <c r="B110" i="4"/>
  <c r="C110" i="4"/>
  <c r="D110" i="4"/>
  <c r="M110" i="4"/>
  <c r="M49" i="4"/>
  <c r="C50" i="7" s="1"/>
  <c r="B49" i="4"/>
  <c r="C49" i="4"/>
  <c r="D49" i="4"/>
  <c r="J49" i="4"/>
  <c r="D34" i="2"/>
  <c r="E34" i="2"/>
  <c r="F34" i="2"/>
  <c r="C34" i="2"/>
  <c r="D28" i="2"/>
  <c r="C28" i="2"/>
  <c r="C16" i="2"/>
  <c r="D16" i="2"/>
  <c r="I14" i="2"/>
  <c r="F14" i="2"/>
  <c r="D14" i="2"/>
  <c r="E14" i="2"/>
  <c r="B64" i="4"/>
  <c r="C64" i="4"/>
  <c r="D64" i="4"/>
  <c r="M64" i="4"/>
  <c r="O64" i="4"/>
  <c r="E4" i="7" s="1"/>
  <c r="P64" i="4"/>
  <c r="Q64" i="4"/>
  <c r="B65" i="4"/>
  <c r="C65" i="4"/>
  <c r="D65" i="4"/>
  <c r="M65" i="4"/>
  <c r="N65" i="4"/>
  <c r="O65" i="4"/>
  <c r="E5" i="7" s="1"/>
  <c r="P65" i="4"/>
  <c r="Q65" i="4"/>
  <c r="H5" i="7" s="1"/>
  <c r="B66" i="4"/>
  <c r="C66" i="4"/>
  <c r="D66" i="4"/>
  <c r="M66" i="4"/>
  <c r="N66" i="4"/>
  <c r="O66" i="4"/>
  <c r="P66" i="4"/>
  <c r="E6" i="7" s="1"/>
  <c r="Q66" i="4"/>
  <c r="H6" i="7" s="1"/>
  <c r="B67" i="4"/>
  <c r="C67" i="4"/>
  <c r="D67" i="4"/>
  <c r="M67" i="4"/>
  <c r="N67" i="4"/>
  <c r="O67" i="4"/>
  <c r="P67" i="4"/>
  <c r="E7" i="7" s="1"/>
  <c r="Q67" i="4"/>
  <c r="H7" i="7" s="1"/>
  <c r="B68" i="4"/>
  <c r="C68" i="4"/>
  <c r="D68" i="4"/>
  <c r="M68" i="4"/>
  <c r="N68" i="4"/>
  <c r="O68" i="4"/>
  <c r="P68" i="4"/>
  <c r="E8" i="7" s="1"/>
  <c r="Q68" i="4"/>
  <c r="H8" i="7" s="1"/>
  <c r="B69" i="4"/>
  <c r="C69" i="4"/>
  <c r="D69" i="4"/>
  <c r="M69" i="4"/>
  <c r="N69" i="4"/>
  <c r="O69" i="4"/>
  <c r="P69" i="4"/>
  <c r="E9" i="7" s="1"/>
  <c r="Q69" i="4"/>
  <c r="H9" i="7" s="1"/>
  <c r="B70" i="4"/>
  <c r="C70" i="4"/>
  <c r="D70" i="4"/>
  <c r="M70" i="4"/>
  <c r="N70" i="4"/>
  <c r="O70" i="4"/>
  <c r="P70" i="4"/>
  <c r="E10" i="7" s="1"/>
  <c r="Q70" i="4"/>
  <c r="H10" i="7" s="1"/>
  <c r="B71" i="4"/>
  <c r="C71" i="4"/>
  <c r="D71" i="4"/>
  <c r="M71" i="4"/>
  <c r="N71" i="4"/>
  <c r="O71" i="4"/>
  <c r="P71" i="4"/>
  <c r="E11" i="7" s="1"/>
  <c r="Q71" i="4"/>
  <c r="H11" i="7" s="1"/>
  <c r="B72" i="4"/>
  <c r="C72" i="4"/>
  <c r="D72" i="4"/>
  <c r="M72" i="4"/>
  <c r="B73" i="4"/>
  <c r="C73" i="4"/>
  <c r="D73" i="4"/>
  <c r="M73" i="4"/>
  <c r="N73" i="4"/>
  <c r="O73" i="4"/>
  <c r="P73" i="4"/>
  <c r="E13" i="7" s="1"/>
  <c r="Q73" i="4"/>
  <c r="H13" i="7" s="1"/>
  <c r="B74" i="4"/>
  <c r="C74" i="4"/>
  <c r="D74" i="4"/>
  <c r="M74" i="4"/>
  <c r="N74" i="4"/>
  <c r="E14" i="7" s="1"/>
  <c r="O74" i="4"/>
  <c r="P74" i="4"/>
  <c r="Q74" i="4"/>
  <c r="H14" i="7" s="1"/>
  <c r="B75" i="4"/>
  <c r="C75" i="4"/>
  <c r="D75" i="4"/>
  <c r="M75" i="4"/>
  <c r="N75" i="4"/>
  <c r="E15" i="7" s="1"/>
  <c r="O75" i="4"/>
  <c r="P75" i="4"/>
  <c r="Q75" i="4"/>
  <c r="H15" i="7" s="1"/>
  <c r="B76" i="4"/>
  <c r="C76" i="4"/>
  <c r="D76" i="4"/>
  <c r="M76" i="4"/>
  <c r="N76" i="4"/>
  <c r="E16" i="7" s="1"/>
  <c r="O76" i="4"/>
  <c r="P76" i="4"/>
  <c r="Q76" i="4"/>
  <c r="H16" i="7" s="1"/>
  <c r="B77" i="4"/>
  <c r="C77" i="4"/>
  <c r="D77" i="4"/>
  <c r="M77" i="4"/>
  <c r="N77" i="4"/>
  <c r="E17" i="7" s="1"/>
  <c r="O77" i="4"/>
  <c r="P77" i="4"/>
  <c r="Q77" i="4"/>
  <c r="H17" i="7" s="1"/>
  <c r="B78" i="4"/>
  <c r="C78" i="4"/>
  <c r="D78" i="4"/>
  <c r="M78" i="4"/>
  <c r="N78" i="4"/>
  <c r="O78" i="4"/>
  <c r="B79" i="4"/>
  <c r="C79" i="4"/>
  <c r="D79" i="4"/>
  <c r="M79" i="4"/>
  <c r="N79" i="4"/>
  <c r="O79" i="4"/>
  <c r="B80" i="4"/>
  <c r="C80" i="4"/>
  <c r="D80" i="4"/>
  <c r="M80" i="4"/>
  <c r="N80" i="4"/>
  <c r="O80" i="4"/>
  <c r="B81" i="4"/>
  <c r="C81" i="4"/>
  <c r="D81" i="4"/>
  <c r="M81" i="4"/>
  <c r="N81" i="4"/>
  <c r="O81" i="4"/>
  <c r="B82" i="4"/>
  <c r="C82" i="4"/>
  <c r="D82" i="4"/>
  <c r="M82" i="4"/>
  <c r="N82" i="4"/>
  <c r="O82" i="4"/>
  <c r="B83" i="4"/>
  <c r="C83" i="4"/>
  <c r="D83" i="4"/>
  <c r="M83" i="4"/>
  <c r="B84" i="4"/>
  <c r="C84" i="4"/>
  <c r="D84" i="4"/>
  <c r="M84" i="4"/>
  <c r="N84" i="4"/>
  <c r="O84" i="4"/>
  <c r="B85" i="4"/>
  <c r="C85" i="4"/>
  <c r="D85" i="4"/>
  <c r="M85" i="4"/>
  <c r="N85" i="4"/>
  <c r="O85" i="4"/>
  <c r="B86" i="4"/>
  <c r="C86" i="4"/>
  <c r="D86" i="4"/>
  <c r="M86" i="4"/>
  <c r="N86" i="4"/>
  <c r="O86" i="4"/>
  <c r="B87" i="4"/>
  <c r="C87" i="4"/>
  <c r="D87" i="4"/>
  <c r="M87" i="4"/>
  <c r="B88" i="4"/>
  <c r="C88" i="4"/>
  <c r="D88" i="4"/>
  <c r="M88" i="4"/>
  <c r="N88" i="4"/>
  <c r="O88" i="4"/>
  <c r="B89" i="4"/>
  <c r="C89" i="4"/>
  <c r="D89" i="4"/>
  <c r="N89" i="4"/>
  <c r="O89" i="4"/>
  <c r="E29" i="7" s="1"/>
  <c r="P89" i="4"/>
  <c r="Q89" i="4"/>
  <c r="H29" i="7" s="1"/>
  <c r="B90" i="4"/>
  <c r="C90" i="4"/>
  <c r="D90" i="4"/>
  <c r="N90" i="4"/>
  <c r="O90" i="4"/>
  <c r="E30" i="7" s="1"/>
  <c r="P90" i="4"/>
  <c r="Q90" i="4"/>
  <c r="H30" i="7" s="1"/>
  <c r="B91" i="4"/>
  <c r="C91" i="4"/>
  <c r="D91" i="4"/>
  <c r="N91" i="4"/>
  <c r="O91" i="4"/>
  <c r="P91" i="4"/>
  <c r="E31" i="7" s="1"/>
  <c r="Q91" i="4"/>
  <c r="H31" i="7" s="1"/>
  <c r="B92" i="4"/>
  <c r="C92" i="4"/>
  <c r="D92" i="4"/>
  <c r="N92" i="4"/>
  <c r="O92" i="4"/>
  <c r="P92" i="4"/>
  <c r="E32" i="7" s="1"/>
  <c r="Q92" i="4"/>
  <c r="H32" i="7" s="1"/>
  <c r="B93" i="4"/>
  <c r="C93" i="4"/>
  <c r="D93" i="4"/>
  <c r="N93" i="4"/>
  <c r="O93" i="4"/>
  <c r="P93" i="4"/>
  <c r="E33" i="7" s="1"/>
  <c r="Q93" i="4"/>
  <c r="H33" i="7" s="1"/>
  <c r="B94" i="4"/>
  <c r="C94" i="4"/>
  <c r="D94" i="4"/>
  <c r="N94" i="4"/>
  <c r="O94" i="4"/>
  <c r="P94" i="4"/>
  <c r="E34" i="7" s="1"/>
  <c r="Q94" i="4"/>
  <c r="H34" i="7" s="1"/>
  <c r="B95" i="4"/>
  <c r="C95" i="4"/>
  <c r="D95" i="4"/>
  <c r="N95" i="4"/>
  <c r="O95" i="4"/>
  <c r="P95" i="4"/>
  <c r="E35" i="7" s="1"/>
  <c r="Q95" i="4"/>
  <c r="H35" i="7" s="1"/>
  <c r="B96" i="4"/>
  <c r="C96" i="4"/>
  <c r="D96" i="4"/>
  <c r="N96" i="4"/>
  <c r="O96" i="4"/>
  <c r="P96" i="4"/>
  <c r="E36" i="7" s="1"/>
  <c r="Q96" i="4"/>
  <c r="H36" i="7" s="1"/>
  <c r="B97" i="4"/>
  <c r="C97" i="4"/>
  <c r="D97" i="4"/>
  <c r="B98" i="4"/>
  <c r="C98" i="4"/>
  <c r="D98" i="4"/>
  <c r="N98" i="4"/>
  <c r="O98" i="4"/>
  <c r="P98" i="4"/>
  <c r="E38" i="7" s="1"/>
  <c r="Q98" i="4"/>
  <c r="H38" i="7" s="1"/>
  <c r="B99" i="4"/>
  <c r="C99" i="4"/>
  <c r="D99" i="4"/>
  <c r="N99" i="4"/>
  <c r="E39" i="7" s="1"/>
  <c r="O99" i="4"/>
  <c r="P99" i="4"/>
  <c r="Q99" i="4"/>
  <c r="H39" i="7" s="1"/>
  <c r="B100" i="4"/>
  <c r="C100" i="4"/>
  <c r="D100" i="4"/>
  <c r="N100" i="4"/>
  <c r="E40" i="7" s="1"/>
  <c r="O100" i="4"/>
  <c r="P100" i="4"/>
  <c r="Q100" i="4"/>
  <c r="H40" i="7" s="1"/>
  <c r="B101" i="4"/>
  <c r="C101" i="4"/>
  <c r="D101" i="4"/>
  <c r="M101" i="4"/>
  <c r="P101" i="4"/>
  <c r="E41" i="7" s="1"/>
  <c r="B102" i="4"/>
  <c r="C102" i="4"/>
  <c r="D102" i="4"/>
  <c r="M102" i="4"/>
  <c r="P102" i="4"/>
  <c r="E42" i="7" s="1"/>
  <c r="B103" i="4"/>
  <c r="C103" i="4"/>
  <c r="D103" i="4"/>
  <c r="M103" i="4"/>
  <c r="P103" i="4"/>
  <c r="E43" i="7" s="1"/>
  <c r="B104" i="4"/>
  <c r="C104" i="4"/>
  <c r="D104" i="4"/>
  <c r="M104" i="4"/>
  <c r="P104" i="4"/>
  <c r="E44" i="7" s="1"/>
  <c r="B105" i="4"/>
  <c r="C105" i="4"/>
  <c r="D105" i="4"/>
  <c r="M105" i="4"/>
  <c r="P105" i="4"/>
  <c r="E45" i="7" s="1"/>
  <c r="B106" i="4"/>
  <c r="C106" i="4"/>
  <c r="D106" i="4"/>
  <c r="M106" i="4"/>
  <c r="P106" i="4"/>
  <c r="E46" i="7" s="1"/>
  <c r="B107" i="4"/>
  <c r="C107" i="4"/>
  <c r="D107" i="4"/>
  <c r="M107" i="4"/>
  <c r="P107" i="4"/>
  <c r="E47" i="7" s="1"/>
  <c r="B108" i="4"/>
  <c r="C108" i="4"/>
  <c r="D108" i="4"/>
  <c r="M108" i="4"/>
  <c r="P108" i="4"/>
  <c r="E48" i="7" s="1"/>
  <c r="B109" i="4"/>
  <c r="C109" i="4"/>
  <c r="D109" i="4"/>
  <c r="M109" i="4"/>
  <c r="P109" i="4"/>
  <c r="E49" i="7" s="1"/>
  <c r="N29" i="4"/>
  <c r="N28" i="4"/>
  <c r="T63" i="4"/>
  <c r="S63" i="4"/>
  <c r="R63" i="4"/>
  <c r="B63" i="4"/>
  <c r="C63" i="4"/>
  <c r="J63" i="4"/>
  <c r="P40" i="4"/>
  <c r="D41" i="7" s="1"/>
  <c r="P41" i="4"/>
  <c r="D42" i="7" s="1"/>
  <c r="P42" i="4"/>
  <c r="D43" i="7" s="1"/>
  <c r="P43" i="4"/>
  <c r="D44" i="7" s="1"/>
  <c r="P44" i="4"/>
  <c r="D45" i="7" s="1"/>
  <c r="P45" i="4"/>
  <c r="D46" i="7" s="1"/>
  <c r="P46" i="4"/>
  <c r="D47" i="7" s="1"/>
  <c r="P47" i="4"/>
  <c r="D48" i="7" s="1"/>
  <c r="M41" i="4"/>
  <c r="C42" i="7" s="1"/>
  <c r="M42" i="4"/>
  <c r="C43" i="7" s="1"/>
  <c r="M43" i="4"/>
  <c r="C44" i="7" s="1"/>
  <c r="M44" i="4"/>
  <c r="C45" i="7" s="1"/>
  <c r="M45" i="4"/>
  <c r="C46" i="7" s="1"/>
  <c r="M46" i="4"/>
  <c r="C47" i="7" s="1"/>
  <c r="M47" i="4"/>
  <c r="C48" i="7" s="1"/>
  <c r="M48" i="4"/>
  <c r="C49" i="7" s="1"/>
  <c r="M40" i="4"/>
  <c r="C41" i="7" s="1"/>
  <c r="B40" i="4"/>
  <c r="C40" i="4"/>
  <c r="D40" i="4"/>
  <c r="J40" i="4"/>
  <c r="B41" i="4"/>
  <c r="C41" i="4"/>
  <c r="D41" i="4"/>
  <c r="J41" i="4"/>
  <c r="B42" i="4"/>
  <c r="C42" i="4"/>
  <c r="D42" i="4"/>
  <c r="J42" i="4"/>
  <c r="B43" i="4"/>
  <c r="C43" i="4"/>
  <c r="D43" i="4"/>
  <c r="J43" i="4"/>
  <c r="B44" i="4"/>
  <c r="C44" i="4"/>
  <c r="D44" i="4"/>
  <c r="J44" i="4"/>
  <c r="B45" i="4"/>
  <c r="C45" i="4"/>
  <c r="D45" i="4"/>
  <c r="J45" i="4"/>
  <c r="B46" i="4"/>
  <c r="C46" i="4"/>
  <c r="D46" i="4"/>
  <c r="J46" i="4"/>
  <c r="B47" i="4"/>
  <c r="C47" i="4"/>
  <c r="D47" i="4"/>
  <c r="J47" i="4"/>
  <c r="B48" i="4"/>
  <c r="C48" i="4"/>
  <c r="D48" i="4"/>
  <c r="J48" i="4"/>
  <c r="P12" i="2"/>
  <c r="P13" i="2"/>
  <c r="H12" i="2"/>
  <c r="H13" i="2"/>
  <c r="F16" i="2" s="1"/>
  <c r="Q39" i="4"/>
  <c r="G40" i="7" s="1"/>
  <c r="Q38" i="4"/>
  <c r="G39" i="7" s="1"/>
  <c r="Q37" i="4"/>
  <c r="G38" i="7" s="1"/>
  <c r="Q35" i="4"/>
  <c r="G36" i="7" s="1"/>
  <c r="Q34" i="4"/>
  <c r="G35" i="7" s="1"/>
  <c r="Q33" i="4"/>
  <c r="G34" i="7" s="1"/>
  <c r="Q32" i="4"/>
  <c r="G33" i="7" s="1"/>
  <c r="Q31" i="4"/>
  <c r="G32" i="7" s="1"/>
  <c r="Q30" i="4"/>
  <c r="G31" i="7" s="1"/>
  <c r="Q29" i="4"/>
  <c r="G30" i="7" s="1"/>
  <c r="Q28" i="4"/>
  <c r="G29" i="7" s="1"/>
  <c r="P39" i="4"/>
  <c r="P38" i="4"/>
  <c r="P37" i="4"/>
  <c r="D38" i="7" s="1"/>
  <c r="P35" i="4"/>
  <c r="D36" i="7" s="1"/>
  <c r="P34" i="4"/>
  <c r="D35" i="7" s="1"/>
  <c r="P33" i="4"/>
  <c r="D34" i="7" s="1"/>
  <c r="P32" i="4"/>
  <c r="D33" i="7" s="1"/>
  <c r="P31" i="4"/>
  <c r="D32" i="7" s="1"/>
  <c r="P30" i="4"/>
  <c r="D31" i="7" s="1"/>
  <c r="P29" i="4"/>
  <c r="P28" i="4"/>
  <c r="O29" i="4"/>
  <c r="D30" i="7" s="1"/>
  <c r="O28" i="4"/>
  <c r="D29" i="7" s="1"/>
  <c r="O39" i="4"/>
  <c r="O38" i="4"/>
  <c r="O37" i="4"/>
  <c r="O35" i="4"/>
  <c r="O34" i="4"/>
  <c r="O33" i="4"/>
  <c r="O32" i="4"/>
  <c r="O31" i="4"/>
  <c r="O30" i="4"/>
  <c r="N30" i="4"/>
  <c r="N31" i="4"/>
  <c r="N32" i="4"/>
  <c r="N33" i="4"/>
  <c r="N34" i="4"/>
  <c r="N35" i="4"/>
  <c r="N37" i="4"/>
  <c r="N38" i="4"/>
  <c r="D39" i="7" s="1"/>
  <c r="N39" i="4"/>
  <c r="D40" i="7" s="1"/>
  <c r="O17" i="4"/>
  <c r="O18" i="4"/>
  <c r="O19" i="4"/>
  <c r="O20" i="4"/>
  <c r="O21" i="4"/>
  <c r="O23" i="4"/>
  <c r="O24" i="4"/>
  <c r="O25" i="4"/>
  <c r="O27" i="4"/>
  <c r="N18" i="4"/>
  <c r="N19" i="4"/>
  <c r="N20" i="4"/>
  <c r="N21" i="4"/>
  <c r="N23" i="4"/>
  <c r="N24" i="4"/>
  <c r="N25" i="4"/>
  <c r="N27" i="4"/>
  <c r="M27" i="4"/>
  <c r="C28" i="7" s="1"/>
  <c r="M26" i="4"/>
  <c r="C27" i="7" s="1"/>
  <c r="M25" i="4"/>
  <c r="C26" i="7" s="1"/>
  <c r="M24" i="4"/>
  <c r="C25" i="7" s="1"/>
  <c r="M23" i="4"/>
  <c r="C24" i="7" s="1"/>
  <c r="M22" i="4"/>
  <c r="C23" i="7" s="1"/>
  <c r="M21" i="4"/>
  <c r="C22" i="7" s="1"/>
  <c r="M20" i="4"/>
  <c r="C21" i="7" s="1"/>
  <c r="M19" i="4"/>
  <c r="C20" i="7" s="1"/>
  <c r="M18" i="4"/>
  <c r="C19" i="7" s="1"/>
  <c r="M17" i="4"/>
  <c r="C18" i="7" s="1"/>
  <c r="Q16" i="4"/>
  <c r="G17" i="7" s="1"/>
  <c r="Q15" i="4"/>
  <c r="G16" i="7" s="1"/>
  <c r="P16" i="4"/>
  <c r="P15" i="4"/>
  <c r="O15" i="4"/>
  <c r="O16" i="4"/>
  <c r="N16" i="4"/>
  <c r="D17" i="7" s="1"/>
  <c r="N15" i="4"/>
  <c r="D16" i="7" s="1"/>
  <c r="Q14" i="4"/>
  <c r="G15" i="7" s="1"/>
  <c r="Q13" i="4"/>
  <c r="G14" i="7" s="1"/>
  <c r="Q12" i="4"/>
  <c r="G13" i="7" s="1"/>
  <c r="Q10" i="4"/>
  <c r="G11" i="7" s="1"/>
  <c r="Q9" i="4"/>
  <c r="G10" i="7" s="1"/>
  <c r="Q8" i="4"/>
  <c r="G9" i="7" s="1"/>
  <c r="Q7" i="4"/>
  <c r="G8" i="7" s="1"/>
  <c r="Q6" i="4"/>
  <c r="G7" i="7" s="1"/>
  <c r="Q5" i="4"/>
  <c r="G6" i="7" s="1"/>
  <c r="Q4" i="4"/>
  <c r="G5" i="7" s="1"/>
  <c r="Q3" i="4"/>
  <c r="G4" i="7" s="1"/>
  <c r="P14" i="4"/>
  <c r="P13" i="4"/>
  <c r="P12" i="4"/>
  <c r="D13" i="7" s="1"/>
  <c r="P10" i="4"/>
  <c r="D11" i="7" s="1"/>
  <c r="P9" i="4"/>
  <c r="D10" i="7" s="1"/>
  <c r="P8" i="4"/>
  <c r="D9" i="7" s="1"/>
  <c r="P7" i="4"/>
  <c r="D8" i="7" s="1"/>
  <c r="P6" i="4"/>
  <c r="D7" i="7" s="1"/>
  <c r="P5" i="4"/>
  <c r="D6" i="7" s="1"/>
  <c r="P4" i="4"/>
  <c r="P3" i="4"/>
  <c r="O14" i="4"/>
  <c r="O13" i="4"/>
  <c r="O12" i="4"/>
  <c r="O10" i="4"/>
  <c r="O9" i="4"/>
  <c r="O8" i="4"/>
  <c r="O7" i="4"/>
  <c r="O6" i="4"/>
  <c r="O5" i="4"/>
  <c r="O4" i="4"/>
  <c r="D5" i="7" s="1"/>
  <c r="O3" i="4"/>
  <c r="D4" i="7" s="1"/>
  <c r="N3" i="4"/>
  <c r="N4" i="4"/>
  <c r="N5" i="4"/>
  <c r="N6" i="4"/>
  <c r="N7" i="4"/>
  <c r="N8" i="4"/>
  <c r="N9" i="4"/>
  <c r="N10" i="4"/>
  <c r="N12" i="4"/>
  <c r="N13" i="4"/>
  <c r="D14" i="7" s="1"/>
  <c r="N14" i="4"/>
  <c r="D15" i="7" s="1"/>
  <c r="M16" i="4"/>
  <c r="C17" i="7" s="1"/>
  <c r="M15" i="4"/>
  <c r="C16" i="7" s="1"/>
  <c r="M14" i="4"/>
  <c r="C15" i="7" s="1"/>
  <c r="M13" i="4"/>
  <c r="C14" i="7" s="1"/>
  <c r="M12" i="4"/>
  <c r="C13" i="7" s="1"/>
  <c r="M11" i="4"/>
  <c r="C12" i="7" s="1"/>
  <c r="M10" i="4"/>
  <c r="C11" i="7" s="1"/>
  <c r="M9" i="4"/>
  <c r="C10" i="7" s="1"/>
  <c r="M8" i="4"/>
  <c r="C9" i="7" s="1"/>
  <c r="M7" i="4"/>
  <c r="C8" i="7" s="1"/>
  <c r="M6" i="4"/>
  <c r="C7" i="7" s="1"/>
  <c r="M5" i="4"/>
  <c r="C6" i="7" s="1"/>
  <c r="M4" i="4"/>
  <c r="C5" i="7" s="1"/>
  <c r="M3" i="4"/>
  <c r="C4" i="7" s="1"/>
  <c r="B17" i="4"/>
  <c r="C17" i="4"/>
  <c r="D17" i="4"/>
  <c r="J17" i="4"/>
  <c r="B18" i="4"/>
  <c r="C18" i="4"/>
  <c r="D18" i="4"/>
  <c r="J18" i="4"/>
  <c r="B19" i="4"/>
  <c r="C19" i="4"/>
  <c r="D19" i="4"/>
  <c r="J19" i="4"/>
  <c r="B20" i="4"/>
  <c r="C20" i="4"/>
  <c r="D20" i="4"/>
  <c r="J20" i="4"/>
  <c r="B21" i="4"/>
  <c r="C21" i="4"/>
  <c r="D21" i="4"/>
  <c r="J21" i="4"/>
  <c r="B22" i="4"/>
  <c r="C22" i="4"/>
  <c r="D22" i="4"/>
  <c r="J22" i="4"/>
  <c r="B23" i="4"/>
  <c r="C23" i="4"/>
  <c r="D23" i="4"/>
  <c r="J23" i="4"/>
  <c r="B24" i="4"/>
  <c r="C24" i="4"/>
  <c r="D24" i="4"/>
  <c r="J24" i="4"/>
  <c r="B25" i="4"/>
  <c r="C25" i="4"/>
  <c r="D25" i="4"/>
  <c r="J25" i="4"/>
  <c r="B26" i="4"/>
  <c r="C26" i="4"/>
  <c r="D26" i="4"/>
  <c r="J26" i="4"/>
  <c r="B27" i="4"/>
  <c r="C27" i="4"/>
  <c r="D27" i="4"/>
  <c r="J27" i="4"/>
  <c r="B28" i="4"/>
  <c r="C28" i="4"/>
  <c r="D28" i="4"/>
  <c r="J28" i="4"/>
  <c r="B29" i="4"/>
  <c r="C29" i="4"/>
  <c r="D29" i="4"/>
  <c r="J29" i="4"/>
  <c r="B30" i="4"/>
  <c r="C30" i="4"/>
  <c r="D30" i="4"/>
  <c r="J30" i="4"/>
  <c r="B31" i="4"/>
  <c r="C31" i="4"/>
  <c r="D31" i="4"/>
  <c r="J31" i="4"/>
  <c r="B32" i="4"/>
  <c r="C32" i="4"/>
  <c r="D32" i="4"/>
  <c r="J32" i="4"/>
  <c r="B33" i="4"/>
  <c r="C33" i="4"/>
  <c r="D33" i="4"/>
  <c r="J33" i="4"/>
  <c r="B34" i="4"/>
  <c r="C34" i="4"/>
  <c r="D34" i="4"/>
  <c r="J34" i="4"/>
  <c r="B35" i="4"/>
  <c r="C35" i="4"/>
  <c r="D35" i="4"/>
  <c r="J35" i="4"/>
  <c r="B36" i="4"/>
  <c r="C36" i="4"/>
  <c r="D36" i="4"/>
  <c r="J36" i="4"/>
  <c r="B37" i="4"/>
  <c r="C37" i="4"/>
  <c r="D37" i="4"/>
  <c r="J37" i="4"/>
  <c r="B38" i="4"/>
  <c r="C38" i="4"/>
  <c r="D38" i="4"/>
  <c r="J38" i="4"/>
  <c r="B39" i="4"/>
  <c r="C39" i="4"/>
  <c r="D39" i="4"/>
  <c r="J39" i="4"/>
  <c r="B4" i="4"/>
  <c r="C4" i="4"/>
  <c r="D4" i="4"/>
  <c r="J4" i="4"/>
  <c r="B5" i="4"/>
  <c r="C5" i="4"/>
  <c r="D5" i="4"/>
  <c r="J5" i="4"/>
  <c r="B6" i="4"/>
  <c r="C6" i="4"/>
  <c r="D6" i="4"/>
  <c r="J6" i="4"/>
  <c r="B7" i="4"/>
  <c r="C7" i="4"/>
  <c r="D7" i="4"/>
  <c r="J7" i="4"/>
  <c r="B8" i="4"/>
  <c r="C8" i="4"/>
  <c r="D8" i="4"/>
  <c r="J8" i="4"/>
  <c r="B9" i="4"/>
  <c r="C9" i="4"/>
  <c r="D9" i="4"/>
  <c r="J9" i="4"/>
  <c r="B10" i="4"/>
  <c r="C10" i="4"/>
  <c r="D10" i="4"/>
  <c r="J10" i="4"/>
  <c r="B11" i="4"/>
  <c r="C11" i="4"/>
  <c r="D11" i="4"/>
  <c r="J11" i="4"/>
  <c r="B12" i="4"/>
  <c r="C12" i="4"/>
  <c r="D12" i="4"/>
  <c r="J12" i="4"/>
  <c r="B13" i="4"/>
  <c r="C13" i="4"/>
  <c r="D13" i="4"/>
  <c r="J13" i="4"/>
  <c r="B14" i="4"/>
  <c r="C14" i="4"/>
  <c r="D14" i="4"/>
  <c r="J14" i="4"/>
  <c r="B15" i="4"/>
  <c r="C15" i="4"/>
  <c r="D15" i="4"/>
  <c r="J15" i="4"/>
  <c r="B16" i="4"/>
  <c r="C16" i="4"/>
  <c r="D16" i="4"/>
  <c r="J16" i="4"/>
  <c r="J3" i="4"/>
  <c r="D3" i="4"/>
  <c r="C3" i="4"/>
  <c r="B3" i="4"/>
  <c r="E73" i="3"/>
  <c r="D72" i="3"/>
  <c r="D69" i="3" s="1"/>
  <c r="C72" i="3"/>
  <c r="E71" i="3"/>
  <c r="E70" i="3"/>
  <c r="E68" i="3"/>
  <c r="D67" i="3"/>
  <c r="D64" i="3" s="1"/>
  <c r="C67" i="3"/>
  <c r="C64" i="3" s="1"/>
  <c r="E65" i="3"/>
  <c r="E63" i="3"/>
  <c r="E61" i="3"/>
  <c r="E59" i="3"/>
  <c r="E57" i="3"/>
  <c r="N38" i="3"/>
  <c r="M38" i="3"/>
  <c r="J38" i="3"/>
  <c r="I38" i="3"/>
  <c r="F38" i="3"/>
  <c r="E38" i="3"/>
  <c r="D38" i="3"/>
  <c r="C38" i="3"/>
  <c r="P37" i="3"/>
  <c r="O37" i="3"/>
  <c r="L37" i="3"/>
  <c r="K37" i="3"/>
  <c r="H37" i="3"/>
  <c r="G37" i="3"/>
  <c r="P36" i="3"/>
  <c r="O36" i="3"/>
  <c r="L36" i="3"/>
  <c r="K36" i="3"/>
  <c r="H36" i="3"/>
  <c r="G36" i="3"/>
  <c r="N34" i="3"/>
  <c r="M34" i="3"/>
  <c r="J34" i="3"/>
  <c r="I34" i="3"/>
  <c r="F34" i="3"/>
  <c r="E34" i="3"/>
  <c r="D34" i="3"/>
  <c r="C34" i="3"/>
  <c r="P33" i="3"/>
  <c r="O33" i="3"/>
  <c r="L33" i="3"/>
  <c r="K33" i="3"/>
  <c r="H33" i="3"/>
  <c r="G33" i="3"/>
  <c r="P32" i="3"/>
  <c r="O32" i="3"/>
  <c r="L32" i="3"/>
  <c r="K32" i="3"/>
  <c r="H32" i="3"/>
  <c r="G32" i="3"/>
  <c r="D28" i="3"/>
  <c r="C28" i="3"/>
  <c r="N24" i="3"/>
  <c r="N25" i="3" s="1"/>
  <c r="M24" i="3"/>
  <c r="M25" i="3" s="1"/>
  <c r="J24" i="3"/>
  <c r="J25" i="3" s="1"/>
  <c r="I24" i="3"/>
  <c r="I25" i="3" s="1"/>
  <c r="F24" i="3"/>
  <c r="F25" i="3" s="1"/>
  <c r="E24" i="3"/>
  <c r="E25" i="3" s="1"/>
  <c r="D24" i="3"/>
  <c r="D25" i="3" s="1"/>
  <c r="C24" i="3"/>
  <c r="C25" i="3" s="1"/>
  <c r="N23" i="3"/>
  <c r="M23" i="3"/>
  <c r="J23" i="3"/>
  <c r="I23" i="3"/>
  <c r="F23" i="3"/>
  <c r="E23" i="3"/>
  <c r="D23" i="3"/>
  <c r="C23" i="3"/>
  <c r="P22" i="3"/>
  <c r="O22" i="3"/>
  <c r="L22" i="3"/>
  <c r="K22" i="3"/>
  <c r="H22" i="3"/>
  <c r="G22" i="3"/>
  <c r="N21" i="3"/>
  <c r="M21" i="3"/>
  <c r="J21" i="3"/>
  <c r="I21" i="3"/>
  <c r="F21" i="3"/>
  <c r="E21" i="3"/>
  <c r="D21" i="3"/>
  <c r="C21" i="3"/>
  <c r="P20" i="3"/>
  <c r="O20" i="3"/>
  <c r="L20" i="3"/>
  <c r="K20" i="3"/>
  <c r="H20" i="3"/>
  <c r="G20" i="3"/>
  <c r="P19" i="3"/>
  <c r="O19" i="3"/>
  <c r="L19" i="3"/>
  <c r="K19" i="3"/>
  <c r="H19" i="3"/>
  <c r="G19" i="3"/>
  <c r="P18" i="3"/>
  <c r="O18" i="3"/>
  <c r="L18" i="3"/>
  <c r="K18" i="3"/>
  <c r="H18" i="3"/>
  <c r="G18" i="3"/>
  <c r="P17" i="3"/>
  <c r="O17" i="3"/>
  <c r="L17" i="3"/>
  <c r="K17" i="3"/>
  <c r="H17" i="3"/>
  <c r="G17" i="3"/>
  <c r="N16" i="3"/>
  <c r="M16" i="3"/>
  <c r="J16" i="3"/>
  <c r="I16" i="3"/>
  <c r="F16" i="3"/>
  <c r="E16" i="3"/>
  <c r="D16" i="3"/>
  <c r="C16" i="3"/>
  <c r="P15" i="3"/>
  <c r="O15" i="3"/>
  <c r="L15" i="3"/>
  <c r="K15" i="3"/>
  <c r="H15" i="3"/>
  <c r="G15" i="3"/>
  <c r="N14" i="3"/>
  <c r="M14" i="3"/>
  <c r="J14" i="3"/>
  <c r="I14" i="3"/>
  <c r="F14" i="3"/>
  <c r="E14" i="3"/>
  <c r="D14" i="3"/>
  <c r="C14" i="3"/>
  <c r="P13" i="3"/>
  <c r="O13" i="3"/>
  <c r="H13" i="3"/>
  <c r="G13" i="3"/>
  <c r="P12" i="3"/>
  <c r="O12" i="3"/>
  <c r="H12" i="3"/>
  <c r="G12" i="3"/>
  <c r="D67" i="2"/>
  <c r="C67" i="2"/>
  <c r="C66" i="2" s="1"/>
  <c r="C72" i="2"/>
  <c r="N26" i="4" s="1"/>
  <c r="E73" i="2"/>
  <c r="E71" i="2"/>
  <c r="E70" i="2"/>
  <c r="E68" i="2"/>
  <c r="E65" i="2"/>
  <c r="E63" i="2"/>
  <c r="E61" i="2"/>
  <c r="E59" i="2"/>
  <c r="E57" i="2"/>
  <c r="D72" i="2"/>
  <c r="N38" i="2"/>
  <c r="M38" i="2"/>
  <c r="J38" i="2"/>
  <c r="I38" i="2"/>
  <c r="F38" i="2"/>
  <c r="E38" i="2"/>
  <c r="D38" i="2"/>
  <c r="C38" i="2"/>
  <c r="P37" i="2"/>
  <c r="O37" i="2"/>
  <c r="L37" i="2"/>
  <c r="K37" i="2"/>
  <c r="H37" i="2"/>
  <c r="G37" i="2"/>
  <c r="P36" i="2"/>
  <c r="O36" i="2"/>
  <c r="L36" i="2"/>
  <c r="K36" i="2"/>
  <c r="H36" i="2"/>
  <c r="G36" i="2"/>
  <c r="N34" i="2"/>
  <c r="M34" i="2"/>
  <c r="J34" i="2"/>
  <c r="I34" i="2"/>
  <c r="P33" i="2"/>
  <c r="O33" i="2"/>
  <c r="L33" i="2"/>
  <c r="K33" i="2"/>
  <c r="H33" i="2"/>
  <c r="G33" i="2"/>
  <c r="P32" i="2"/>
  <c r="O32" i="2"/>
  <c r="L32" i="2"/>
  <c r="K32" i="2"/>
  <c r="H32" i="2"/>
  <c r="G32" i="2"/>
  <c r="N24" i="2"/>
  <c r="M24" i="2"/>
  <c r="J24" i="2"/>
  <c r="P36" i="4" s="1"/>
  <c r="D37" i="7" s="1"/>
  <c r="I24" i="2"/>
  <c r="F24" i="2"/>
  <c r="F25" i="2" s="1"/>
  <c r="E24" i="2"/>
  <c r="E25" i="2" s="1"/>
  <c r="C24" i="2"/>
  <c r="N11" i="4" s="1"/>
  <c r="N23" i="2"/>
  <c r="M23" i="2"/>
  <c r="J23" i="2"/>
  <c r="I23" i="2"/>
  <c r="F23" i="2"/>
  <c r="E23" i="2"/>
  <c r="D23" i="2"/>
  <c r="C23" i="2"/>
  <c r="P22" i="2"/>
  <c r="O22" i="2"/>
  <c r="L22" i="2"/>
  <c r="K22" i="2"/>
  <c r="H22" i="2"/>
  <c r="G22" i="2"/>
  <c r="N21" i="2"/>
  <c r="M21" i="2"/>
  <c r="J21" i="2"/>
  <c r="I21" i="2"/>
  <c r="F21" i="2"/>
  <c r="E21" i="2"/>
  <c r="D21" i="2"/>
  <c r="C21" i="2"/>
  <c r="P20" i="2"/>
  <c r="O20" i="2"/>
  <c r="L20" i="2"/>
  <c r="K20" i="2"/>
  <c r="H20" i="2"/>
  <c r="G20" i="2"/>
  <c r="P19" i="2"/>
  <c r="O19" i="2"/>
  <c r="L19" i="2"/>
  <c r="K19" i="2"/>
  <c r="H19" i="2"/>
  <c r="G19" i="2"/>
  <c r="P18" i="2"/>
  <c r="O18" i="2"/>
  <c r="L18" i="2"/>
  <c r="K18" i="2"/>
  <c r="H18" i="2"/>
  <c r="G18" i="2"/>
  <c r="P17" i="2"/>
  <c r="O17" i="2"/>
  <c r="L17" i="2"/>
  <c r="K17" i="2"/>
  <c r="H17" i="2"/>
  <c r="G17" i="2"/>
  <c r="N16" i="2"/>
  <c r="M16" i="2"/>
  <c r="J16" i="2"/>
  <c r="I16" i="2"/>
  <c r="P15" i="2"/>
  <c r="O15" i="2"/>
  <c r="L15" i="2"/>
  <c r="K15" i="2"/>
  <c r="H15" i="2"/>
  <c r="G15" i="2"/>
  <c r="N14" i="2"/>
  <c r="M14" i="2"/>
  <c r="J14" i="2"/>
  <c r="C14" i="2"/>
  <c r="O13" i="2"/>
  <c r="G13" i="2"/>
  <c r="E16" i="2" s="1"/>
  <c r="O12" i="2"/>
  <c r="G12" i="2"/>
  <c r="J27" i="7" l="1"/>
  <c r="F20" i="7" a="1"/>
  <c r="F20" i="7" s="1"/>
  <c r="J24" i="7"/>
  <c r="F50" i="7"/>
  <c r="F18" i="7" a="1"/>
  <c r="F18" i="7" s="1"/>
  <c r="I16" i="7" a="1"/>
  <c r="I16" i="7" s="1"/>
  <c r="I25" i="7" a="1"/>
  <c r="I25" i="7" s="1"/>
  <c r="F23" i="7" a="1"/>
  <c r="F23" i="7" s="1"/>
  <c r="F19" i="7" a="1"/>
  <c r="F19" i="7" s="1"/>
  <c r="F26" i="7" a="1"/>
  <c r="F26" i="7" s="1"/>
  <c r="I23" i="7" a="1"/>
  <c r="I23" i="7" s="1"/>
  <c r="F21" i="7" a="1"/>
  <c r="F21" i="7" s="1"/>
  <c r="I18" i="7" a="1"/>
  <c r="I18" i="7" s="1"/>
  <c r="J25" i="7"/>
  <c r="J22" i="7"/>
  <c r="F24" i="7" a="1"/>
  <c r="F24" i="7" s="1"/>
  <c r="I39" i="7"/>
  <c r="F10" i="7" a="1"/>
  <c r="F10" i="7" s="1"/>
  <c r="I32" i="7" a="1"/>
  <c r="I32" i="7" s="1"/>
  <c r="I13" i="7" a="1"/>
  <c r="I13" i="7" s="1"/>
  <c r="F48" i="7"/>
  <c r="F13" i="7" a="1"/>
  <c r="F13" i="7" s="1"/>
  <c r="I14" i="7" a="1"/>
  <c r="I14" i="7" s="1"/>
  <c r="J6" i="7"/>
  <c r="I40" i="7"/>
  <c r="I30" i="7" a="1"/>
  <c r="I30" i="7" s="1"/>
  <c r="I11" i="7" a="1"/>
  <c r="I11" i="7" s="1"/>
  <c r="F11" i="7" a="1"/>
  <c r="F11" i="7" s="1"/>
  <c r="F45" i="7"/>
  <c r="J15" i="7"/>
  <c r="J30" i="7"/>
  <c r="J5" i="7"/>
  <c r="J14" i="7"/>
  <c r="J33" i="7"/>
  <c r="J9" i="7"/>
  <c r="J38" i="7"/>
  <c r="J17" i="7"/>
  <c r="J34" i="7"/>
  <c r="J29" i="7"/>
  <c r="J7" i="7"/>
  <c r="I36" i="7" a="1"/>
  <c r="I36" i="7" s="1"/>
  <c r="I6" i="7" a="1"/>
  <c r="I6" i="7" s="1"/>
  <c r="I8" i="7"/>
  <c r="J40" i="7"/>
  <c r="O97" i="4"/>
  <c r="F9" i="7"/>
  <c r="N97" i="4"/>
  <c r="J39" i="7"/>
  <c r="J10" i="7"/>
  <c r="I31" i="7" a="1"/>
  <c r="I31" i="7" s="1"/>
  <c r="J35" i="7"/>
  <c r="F47" i="7"/>
  <c r="J8" i="7"/>
  <c r="J36" i="7"/>
  <c r="F44" i="7"/>
  <c r="F42" i="7"/>
  <c r="J32" i="7"/>
  <c r="J16" i="7"/>
  <c r="F41" i="7"/>
  <c r="J13" i="7"/>
  <c r="J11" i="7"/>
  <c r="F29" i="7" a="1"/>
  <c r="F29" i="7" s="1"/>
  <c r="J23" i="7"/>
  <c r="J26" i="7"/>
  <c r="J21" i="7"/>
  <c r="I17" i="7" a="1"/>
  <c r="I17" i="7" s="1"/>
  <c r="J20" i="7"/>
  <c r="F14" i="7" a="1"/>
  <c r="F14" i="7" s="1"/>
  <c r="F30" i="7" a="1"/>
  <c r="F30" i="7" s="1"/>
  <c r="J19" i="7"/>
  <c r="F31" i="7" a="1"/>
  <c r="F31" i="7" s="1"/>
  <c r="J31" i="7"/>
  <c r="J18" i="7"/>
  <c r="I33" i="7" a="1"/>
  <c r="I33" i="7" s="1"/>
  <c r="I29" i="7" a="1"/>
  <c r="I29" i="7" s="1"/>
  <c r="I24" i="7" a="1"/>
  <c r="I24" i="7" s="1"/>
  <c r="F22" i="7" a="1"/>
  <c r="F22" i="7" s="1"/>
  <c r="I19" i="7" a="1"/>
  <c r="I19" i="7" s="1"/>
  <c r="F43" i="7"/>
  <c r="I34" i="7" a="1"/>
  <c r="I34" i="7" s="1"/>
  <c r="I26" i="7" a="1"/>
  <c r="I26" i="7" s="1"/>
  <c r="F28" i="7" a="1"/>
  <c r="F28" i="7" s="1"/>
  <c r="F49" i="7"/>
  <c r="F46" i="7"/>
  <c r="J28" i="7"/>
  <c r="I21" i="7" a="1"/>
  <c r="I21" i="7" s="1"/>
  <c r="F36" i="7" a="1"/>
  <c r="F36" i="7" s="1"/>
  <c r="F32" i="7" a="1"/>
  <c r="F32" i="7" s="1"/>
  <c r="F38" i="7" a="1"/>
  <c r="F38" i="7" s="1"/>
  <c r="I5" i="7" a="1"/>
  <c r="I5" i="7" s="1"/>
  <c r="I35" i="7" a="1"/>
  <c r="I35" i="7" s="1"/>
  <c r="F16" i="7" a="1"/>
  <c r="F16" i="7" s="1"/>
  <c r="F8" i="7"/>
  <c r="F39" i="7"/>
  <c r="F35" i="7" a="1"/>
  <c r="F35" i="7" s="1"/>
  <c r="I10" i="7" a="1"/>
  <c r="I10" i="7" s="1"/>
  <c r="I27" i="7" a="1"/>
  <c r="I27" i="7" s="1"/>
  <c r="F25" i="7" a="1"/>
  <c r="F25" i="7" s="1"/>
  <c r="I15" i="7" a="1"/>
  <c r="I15" i="7" s="1"/>
  <c r="F34" i="7" a="1"/>
  <c r="F34" i="7" s="1"/>
  <c r="F15" i="7" a="1"/>
  <c r="F15" i="7" s="1"/>
  <c r="F40" i="7"/>
  <c r="F33" i="7" a="1"/>
  <c r="F33" i="7" s="1"/>
  <c r="F6" i="7" a="1"/>
  <c r="F6" i="7" s="1"/>
  <c r="F27" i="7" a="1"/>
  <c r="F27" i="7" s="1"/>
  <c r="F17" i="7" a="1"/>
  <c r="F17" i="7" s="1"/>
  <c r="F7" i="7" a="1"/>
  <c r="F7" i="7" s="1"/>
  <c r="I7" i="7" a="1"/>
  <c r="I7" i="7" s="1"/>
  <c r="I38" i="7" a="1"/>
  <c r="I38" i="7" s="1"/>
  <c r="I28" i="7" a="1"/>
  <c r="I28" i="7" s="1"/>
  <c r="I9" i="7"/>
  <c r="H4" i="7"/>
  <c r="I4" i="7" s="1" a="1"/>
  <c r="I4" i="7" s="1"/>
  <c r="E72" i="3"/>
  <c r="Q72" i="4"/>
  <c r="H12" i="7" s="1"/>
  <c r="P72" i="4"/>
  <c r="E12" i="7" s="1"/>
  <c r="C62" i="2"/>
  <c r="O11" i="4"/>
  <c r="O36" i="4"/>
  <c r="C64" i="2"/>
  <c r="N22" i="4"/>
  <c r="D69" i="2"/>
  <c r="O26" i="4"/>
  <c r="D58" i="2"/>
  <c r="O22" i="4"/>
  <c r="N25" i="2"/>
  <c r="Q36" i="4"/>
  <c r="G37" i="7" s="1"/>
  <c r="M25" i="2"/>
  <c r="Q11" i="4"/>
  <c r="G12" i="7" s="1"/>
  <c r="I25" i="2"/>
  <c r="P11" i="4"/>
  <c r="D12" i="7" s="1"/>
  <c r="N87" i="4"/>
  <c r="N83" i="4"/>
  <c r="N72" i="4"/>
  <c r="O87" i="4"/>
  <c r="Q97" i="4"/>
  <c r="H37" i="7" s="1"/>
  <c r="O83" i="4"/>
  <c r="O72" i="4"/>
  <c r="P97" i="4"/>
  <c r="E37" i="7" s="1"/>
  <c r="C66" i="3"/>
  <c r="C60" i="3"/>
  <c r="L24" i="3"/>
  <c r="P24" i="3"/>
  <c r="C58" i="2"/>
  <c r="C60" i="2"/>
  <c r="D60" i="3"/>
  <c r="D66" i="3"/>
  <c r="C62" i="3"/>
  <c r="D62" i="3"/>
  <c r="C58" i="3"/>
  <c r="C69" i="3"/>
  <c r="D58" i="3"/>
  <c r="G24" i="3"/>
  <c r="H24" i="3"/>
  <c r="O24" i="3"/>
  <c r="K24" i="3"/>
  <c r="D64" i="2"/>
  <c r="D62" i="2"/>
  <c r="D60" i="2"/>
  <c r="D66" i="2"/>
  <c r="E72" i="2"/>
  <c r="C69" i="2"/>
  <c r="G24" i="2"/>
  <c r="H24" i="2"/>
  <c r="C25" i="2"/>
  <c r="D25" i="2"/>
  <c r="P24" i="2"/>
  <c r="J25" i="2"/>
  <c r="O24" i="2"/>
  <c r="K24" i="2"/>
  <c r="L24" i="2"/>
  <c r="J37" i="7" l="1"/>
  <c r="J12" i="7"/>
  <c r="J4" i="7"/>
  <c r="F37" i="7" a="1"/>
  <c r="F37" i="7" s="1"/>
  <c r="F12" i="7" a="1"/>
  <c r="F12" i="7" s="1"/>
  <c r="I12" i="7" a="1"/>
  <c r="I12" i="7" s="1"/>
  <c r="I37" i="7" a="1"/>
  <c r="I3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<sst xmlns="http://schemas.openxmlformats.org/spreadsheetml/2006/main" count="704" uniqueCount="281">
  <si>
    <t>Instructions</t>
  </si>
  <si>
    <t>Work on data 2 months from the current month, e.g. if in July work on May data</t>
  </si>
  <si>
    <r>
      <t xml:space="preserve">Complete DQA with the calendar month, focus on collecting </t>
    </r>
    <r>
      <rPr>
        <i/>
        <sz val="11"/>
        <color theme="1"/>
        <rFont val="Arial Nova Cond"/>
        <family val="2"/>
      </rPr>
      <t>before</t>
    </r>
    <r>
      <rPr>
        <sz val="11"/>
        <color theme="1"/>
        <rFont val="Arial Nova Cond"/>
        <family val="2"/>
      </rPr>
      <t xml:space="preserve"> data first week of the month and </t>
    </r>
    <r>
      <rPr>
        <i/>
        <sz val="11"/>
        <color theme="1"/>
        <rFont val="Arial Nova Cond"/>
        <family val="2"/>
      </rPr>
      <t>after</t>
    </r>
    <r>
      <rPr>
        <sz val="11"/>
        <color theme="1"/>
        <rFont val="Arial Nova Cond"/>
        <family val="2"/>
      </rPr>
      <t xml:space="preserve"> data last 2 weeks of the month</t>
    </r>
  </si>
  <si>
    <r>
      <t xml:space="preserve">Ensure you give clear guidance to DoH staff on how to correct the data, once you have completed the DQA with </t>
    </r>
    <r>
      <rPr>
        <i/>
        <sz val="11"/>
        <color theme="1"/>
        <rFont val="Arial Nova Cond"/>
        <family val="2"/>
      </rPr>
      <t>before</t>
    </r>
    <r>
      <rPr>
        <sz val="11"/>
        <color theme="1"/>
        <rFont val="Arial Nova Cond"/>
        <family val="2"/>
      </rPr>
      <t xml:space="preserve"> data</t>
    </r>
  </si>
  <si>
    <t>For DSTB outcomes, work on cohort started treatment 12 months ago, e.g if in July 2022 work on July 2021 cohort</t>
  </si>
  <si>
    <t>For DRTB outcomes, work on cohort started treatment 24 months ago, e.g if in July 2022 work on July 2020 cohort</t>
  </si>
  <si>
    <t>Grey cells have fomula, please do not insert any data</t>
  </si>
  <si>
    <r>
      <t xml:space="preserve">When cell color changes to </t>
    </r>
    <r>
      <rPr>
        <i/>
        <sz val="11"/>
        <color rgb="FFFF0000"/>
        <rFont val="Arial Nova Cond"/>
        <family val="2"/>
      </rPr>
      <t>red</t>
    </r>
    <r>
      <rPr>
        <sz val="11"/>
        <color theme="1"/>
        <rFont val="Arial Nova Cond"/>
        <family val="2"/>
      </rPr>
      <t>, please make sure you review data and correct it</t>
    </r>
  </si>
  <si>
    <r>
      <t xml:space="preserve">Please complete the </t>
    </r>
    <r>
      <rPr>
        <b/>
        <sz val="11"/>
        <color theme="1"/>
        <rFont val="Arial Nova Cond"/>
        <family val="2"/>
      </rPr>
      <t>Training dashboard</t>
    </r>
    <r>
      <rPr>
        <sz val="11"/>
        <color theme="1"/>
        <rFont val="Arial Nova Cond"/>
        <family val="2"/>
      </rPr>
      <t xml:space="preserve"> as per facility visit book information</t>
    </r>
  </si>
  <si>
    <r>
      <t>Please ignore the</t>
    </r>
    <r>
      <rPr>
        <b/>
        <sz val="11"/>
        <color theme="1"/>
        <rFont val="Arial Nova Cond"/>
        <family val="2"/>
      </rPr>
      <t xml:space="preserve"> Power Query</t>
    </r>
    <r>
      <rPr>
        <sz val="11"/>
        <color theme="1"/>
        <rFont val="Arial Nova Cond"/>
        <family val="2"/>
      </rPr>
      <t xml:space="preserve"> tab, this is for further analysis</t>
    </r>
  </si>
  <si>
    <r>
      <t xml:space="preserve">Conversions </t>
    </r>
    <r>
      <rPr>
        <b/>
        <sz val="10"/>
        <color theme="1"/>
        <rFont val="Arial Nova Cond"/>
        <family val="2"/>
      </rPr>
      <t>(Work on data 2 months back for this section)</t>
    </r>
  </si>
  <si>
    <t>These are patient that were due for conversion (started in e.g March 2023)</t>
  </si>
  <si>
    <r>
      <t xml:space="preserve">Discharge </t>
    </r>
    <r>
      <rPr>
        <b/>
        <sz val="10"/>
        <color theme="1"/>
        <rFont val="Arial Nova Cond"/>
        <family val="2"/>
      </rPr>
      <t xml:space="preserve">(Work on data 2 months back, </t>
    </r>
    <r>
      <rPr>
        <sz val="10"/>
        <color theme="1"/>
        <rFont val="Arial Nova Cond"/>
        <family val="2"/>
      </rPr>
      <t>for this section the people would have started treatment 5 months back e.g 2 months back in March then go 5 months back to Oct 2022</t>
    </r>
    <r>
      <rPr>
        <b/>
        <sz val="10"/>
        <color theme="1"/>
        <rFont val="Arial Nova Cond"/>
        <family val="2"/>
      </rPr>
      <t>)</t>
    </r>
  </si>
  <si>
    <r>
      <t xml:space="preserve">Outstanding outcomes list </t>
    </r>
    <r>
      <rPr>
        <b/>
        <sz val="10"/>
        <color theme="1"/>
        <rFont val="Arial Nova Cond"/>
        <family val="2"/>
      </rPr>
      <t>(Work on data 2 months back,</t>
    </r>
    <r>
      <rPr>
        <sz val="10"/>
        <color theme="1"/>
        <rFont val="Arial Nova Cond"/>
        <family val="2"/>
      </rPr>
      <t xml:space="preserve"> for this section the people would have started treatment 5 months back e.g 2 months back in March then go 5 months back to Oct 2022)</t>
    </r>
  </si>
  <si>
    <t>HIV/ART - Need to filter from the Patient list since the report doesn’t give you patient level data only if there are any outstanding HIV/ART status.</t>
  </si>
  <si>
    <t xml:space="preserve">Outcome report - This is the total number 12 months back outcome </t>
  </si>
  <si>
    <t>You also filter since the report is not out yet.</t>
  </si>
  <si>
    <t>Dashboard</t>
  </si>
  <si>
    <t>Please use the dashboard and areas highlighted in red to give DoH staff feedback</t>
  </si>
  <si>
    <t>Be sure to commend DoH staff when doing well, refer to our documentation lessons learnt document</t>
  </si>
  <si>
    <t>PTB/EPTB</t>
  </si>
  <si>
    <t>ICD Code</t>
  </si>
  <si>
    <t>Definition</t>
  </si>
  <si>
    <t>Type Sample/Type Test</t>
  </si>
  <si>
    <t>Respiratory TB, nactoriolocally confirmed: A15</t>
  </si>
  <si>
    <t>PTB</t>
  </si>
  <si>
    <t>A15.0</t>
  </si>
  <si>
    <t>TB of lung, confirmed by sputum microscopy with or without culture</t>
  </si>
  <si>
    <t>Sputum: Smear +ve with or without culture result</t>
  </si>
  <si>
    <t>A15.1</t>
  </si>
  <si>
    <t>TB of lung, confirmed by culture only</t>
  </si>
  <si>
    <t>Sputum: Culture positive</t>
  </si>
  <si>
    <t>A15.2</t>
  </si>
  <si>
    <t>TB of lung, confirmed by histologically</t>
  </si>
  <si>
    <t>Biopsy: Histology</t>
  </si>
  <si>
    <t>A15.3</t>
  </si>
  <si>
    <t>TB of lung, confirmed by unspecified means</t>
  </si>
  <si>
    <t>Laboratory confirmed FIB; Xpert +ve or Xpert +ve/smear -ve and other tests</t>
  </si>
  <si>
    <t>EPTB</t>
  </si>
  <si>
    <t>A15.4</t>
  </si>
  <si>
    <t>TB of intrathoracic lymph nodes, confirmed bacteriologically and histologically</t>
  </si>
  <si>
    <t>Biopsy: Smear/Xpert/culture/histology</t>
  </si>
  <si>
    <t>A15.5</t>
  </si>
  <si>
    <t>Tuberculosis of the larynx, trachea and bronchus, confirmed bacteriologically and histologically</t>
  </si>
  <si>
    <t>A15.6</t>
  </si>
  <si>
    <t>Tuberculous pleurisy, confirmed bacteriologically and histologically</t>
  </si>
  <si>
    <t>A15.7</t>
  </si>
  <si>
    <t>Primary respiratory TB, confirmed bacteriologically and histologically</t>
  </si>
  <si>
    <t>A15.8</t>
  </si>
  <si>
    <t>Other respiratory tuberculosis, confirmed bacteriologically or histologically</t>
  </si>
  <si>
    <t>A15.9</t>
  </si>
  <si>
    <t>Respiratory tuberculosis unspecified, confirmed bacteriologically and histologically</t>
  </si>
  <si>
    <t>Respiratory TB, not bacteriologically and histologically confirmed: A16</t>
  </si>
  <si>
    <t>A16.0</t>
  </si>
  <si>
    <t>TB of lung, bacteriological and histologically negative</t>
  </si>
  <si>
    <t>X-Rays/ClinicalSputum (smear/Xpert or culture) /biopsy done but negative</t>
  </si>
  <si>
    <t>A16.1</t>
  </si>
  <si>
    <t>TB of lung, bacteriological and histological examination not done</t>
  </si>
  <si>
    <t>X-Rays/Clinical NO sputum (smear/Xpert or culture) /biopsy tests done</t>
  </si>
  <si>
    <t>A16.2</t>
  </si>
  <si>
    <t>TB of lung, without mention of bacteriological and histological confirmation</t>
  </si>
  <si>
    <t>X-Rays and Clinical (no smear/Xpert or culture result)</t>
  </si>
  <si>
    <t>A16.3</t>
  </si>
  <si>
    <t>TB of intra-thoracic lymph nodes, without mention of bacteriological or histological confirmation</t>
  </si>
  <si>
    <t>A16.4</t>
  </si>
  <si>
    <t>Tuberculosis of the larynx, trachea and bronchus, without mention of bacteriological or histological confirmation</t>
  </si>
  <si>
    <t>X-Rays/ClinicalNO sputum (smear/Xpert or culture)/biopsy tests done</t>
  </si>
  <si>
    <t>A16.5</t>
  </si>
  <si>
    <t>Tuberculous pleurisy, without mention of bacteriological or histological confirmation</t>
  </si>
  <si>
    <t>X-Rays/Clinical NO sputum (smear/Xpert or culture)/biopsy tests done</t>
  </si>
  <si>
    <t>A16.7</t>
  </si>
  <si>
    <t>Primary respiratory TB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</si>
  <si>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</si>
  <si>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</si>
  <si>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</si>
  <si>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bacteriological or histological confirmation</t>
  </si>
  <si>
    <t>Extra Pulmonary + other</t>
  </si>
  <si>
    <t>A17.0+</t>
  </si>
  <si>
    <t>TB meningitis (G01)</t>
  </si>
  <si>
    <t>CSF</t>
  </si>
  <si>
    <t>A17.1+</t>
  </si>
  <si>
    <t>Meningeal tuberculoma (G07)</t>
  </si>
  <si>
    <t>MRI/CAT scan</t>
  </si>
  <si>
    <t>A18.0</t>
  </si>
  <si>
    <t>TB of bones and joints</t>
  </si>
  <si>
    <t>Aspiration/biopsy/Xray</t>
  </si>
  <si>
    <t>A18.1</t>
  </si>
  <si>
    <t>TB of genitourinary system</t>
  </si>
  <si>
    <t>Urine culture / Biospsy</t>
  </si>
  <si>
    <t>A18.2</t>
  </si>
  <si>
    <t>Tuberculous peripheral lymphadenopathy</t>
  </si>
  <si>
    <t>Aspiration/biopsy</t>
  </si>
  <si>
    <t>A18.3</t>
  </si>
  <si>
    <t>TB of intestines, peritoneum and mesenteric glands</t>
  </si>
  <si>
    <t>Aspiration/biopsy/MRI/CAT scan</t>
  </si>
  <si>
    <t>A18.4</t>
  </si>
  <si>
    <t>TB of skin and subcutaneous tissue</t>
  </si>
  <si>
    <t>Biopsy</t>
  </si>
  <si>
    <t>A18.8</t>
  </si>
  <si>
    <t>TB of other specified organs</t>
  </si>
  <si>
    <t>Biopsy/aspiration/scan</t>
  </si>
  <si>
    <t>A19.0</t>
  </si>
  <si>
    <t>Acute miliary TB of a single specified site</t>
  </si>
  <si>
    <t>Blood culture / Xray / Clinical</t>
  </si>
  <si>
    <t>A19.1</t>
  </si>
  <si>
    <t>Acute miliary TB of multiple sites</t>
  </si>
  <si>
    <t>Blood culture / scan</t>
  </si>
  <si>
    <t>A19.2</t>
  </si>
  <si>
    <t>Acute miliary TB, unspecified</t>
  </si>
  <si>
    <t>P37.0</t>
  </si>
  <si>
    <t>Congenital TB</t>
  </si>
  <si>
    <t>Blood culture / scan / other</t>
  </si>
  <si>
    <t>J65</t>
  </si>
  <si>
    <t>Silicotuberculosis</t>
  </si>
  <si>
    <t>PTB &amp; confirmed silicosis</t>
  </si>
  <si>
    <t>Pneumoconiosis associated with TB</t>
  </si>
  <si>
    <t>PTB &amp; confirmed pneumoconiosis</t>
  </si>
  <si>
    <t>Age grooup</t>
  </si>
  <si>
    <t>Before</t>
  </si>
  <si>
    <t>After</t>
  </si>
  <si>
    <t>Validation result</t>
  </si>
  <si>
    <t>TB/ID vs TIER.NET vs DHIS</t>
  </si>
  <si>
    <t>Name of stationery</t>
  </si>
  <si>
    <t>Period of verification</t>
  </si>
  <si>
    <t>Availability</t>
  </si>
  <si>
    <t>Stationery version (year)</t>
  </si>
  <si>
    <t>Comments</t>
  </si>
  <si>
    <t>Intergrated file</t>
  </si>
  <si>
    <t>TB Identification register (DS-TB)</t>
  </si>
  <si>
    <t>DR-TB Identification register (DR-TB)</t>
  </si>
  <si>
    <t>PHC comprehensive tick register</t>
  </si>
  <si>
    <t>Summary sheet</t>
  </si>
  <si>
    <t>TPT register</t>
  </si>
  <si>
    <t>Contact line list register</t>
  </si>
  <si>
    <t>Tranfer out register</t>
  </si>
  <si>
    <t>Dataset:</t>
  </si>
  <si>
    <t>Activity</t>
  </si>
  <si>
    <t>Monthly DQA</t>
  </si>
  <si>
    <t>TB type</t>
  </si>
  <si>
    <t>DS-TB</t>
  </si>
  <si>
    <t>Staff name</t>
  </si>
  <si>
    <t>Date of Visit</t>
  </si>
  <si>
    <t>Emfuleni</t>
  </si>
  <si>
    <t>Authority</t>
  </si>
  <si>
    <t>doh</t>
  </si>
  <si>
    <t>Two months back: specify month</t>
  </si>
  <si>
    <t>Oct</t>
  </si>
  <si>
    <t>Sedibeng</t>
  </si>
  <si>
    <t>TB Cascade</t>
  </si>
  <si>
    <t>Work on data 2 months back for this section</t>
  </si>
  <si>
    <t>Tally sheet/TIR/TB register</t>
  </si>
  <si>
    <t>Monthly Summary Sheet</t>
  </si>
  <si>
    <t>Check</t>
  </si>
  <si>
    <t>TIER.Net</t>
  </si>
  <si>
    <t>DHIS</t>
  </si>
  <si>
    <t>Under 5yrs</t>
  </si>
  <si>
    <t xml:space="preserve"> 5yrs &amp; odler</t>
  </si>
  <si>
    <t>Over 5yrs</t>
  </si>
  <si>
    <t>Headcount</t>
  </si>
  <si>
    <t>TB screening</t>
  </si>
  <si>
    <t>TB screening rate</t>
  </si>
  <si>
    <t>Client eligible for TB  test</t>
  </si>
  <si>
    <t>TB presumptive rate</t>
  </si>
  <si>
    <t>TB test using GeneXpert</t>
  </si>
  <si>
    <t xml:space="preserve">DS-TB clinically diagnosed </t>
  </si>
  <si>
    <t xml:space="preserve">DS-TB Bacteriologically confirmed </t>
  </si>
  <si>
    <t>RR-TB bacteriologically confirmed</t>
  </si>
  <si>
    <t>DSTB confirmation rate</t>
  </si>
  <si>
    <t>DSTB treatment start</t>
  </si>
  <si>
    <t>DSTB Treatment start rate</t>
  </si>
  <si>
    <t>Number initial lost to follow-up</t>
  </si>
  <si>
    <t>Initial lost to follow up rate</t>
  </si>
  <si>
    <t>Count alerts for facility</t>
  </si>
  <si>
    <t>Under 5yrs alerts</t>
  </si>
  <si>
    <t>5yrs &amp; older alerts</t>
  </si>
  <si>
    <t>NHLS ALERTS DS-TB</t>
  </si>
  <si>
    <t>NHLS ALERT START RATE</t>
  </si>
  <si>
    <t>TIER.Net/PHCIS/PreHMIS</t>
  </si>
  <si>
    <t>TB TPT</t>
  </si>
  <si>
    <t xml:space="preserve">TB contact </t>
  </si>
  <si>
    <t>TB contact start on TPT</t>
  </si>
  <si>
    <t>TPT  initiation rate</t>
  </si>
  <si>
    <t>HIV TPT</t>
  </si>
  <si>
    <t>PLWHIV on ART eligible for TPT</t>
  </si>
  <si>
    <t>PLWHIV on ART started TPT</t>
  </si>
  <si>
    <t>PLWHIV on ART started TPT rate</t>
  </si>
  <si>
    <t>Work on data current data for this section</t>
  </si>
  <si>
    <t>Tier.Net/PHCIS/PreHMIS TB reports</t>
  </si>
  <si>
    <t>Number</t>
  </si>
  <si>
    <t>TB identification results outstanding list</t>
  </si>
  <si>
    <t>Waiting for TB treatment list</t>
  </si>
  <si>
    <t>DSTB coversion sputa required list</t>
  </si>
  <si>
    <t>DSTB discharge sputa required list</t>
  </si>
  <si>
    <t>DSTB outstanding outcomes list</t>
  </si>
  <si>
    <t>HIV status missing</t>
  </si>
  <si>
    <t>Early missed appointments</t>
  </si>
  <si>
    <t>Late missed appointments</t>
  </si>
  <si>
    <t>DSTB HIV&amp;ART status (oustanding start)</t>
  </si>
  <si>
    <t>Transfer out list</t>
  </si>
  <si>
    <t>Work on data 12 months back for this section</t>
  </si>
  <si>
    <t>DSTB outcomes</t>
  </si>
  <si>
    <t>Patient file/ TB ID</t>
  </si>
  <si>
    <t>DSTB Treatment success</t>
  </si>
  <si>
    <t>DSTB Treatment success rate</t>
  </si>
  <si>
    <t>DSTB LTFU</t>
  </si>
  <si>
    <t>DSTB LTFU rate</t>
  </si>
  <si>
    <t>DSTB Treatment Failure</t>
  </si>
  <si>
    <t>DSTB Treatment Failure rate</t>
  </si>
  <si>
    <t>DSTB Died</t>
  </si>
  <si>
    <t>DSTB Died rate</t>
  </si>
  <si>
    <t>Not evaluated</t>
  </si>
  <si>
    <t>Not evaluated rate</t>
  </si>
  <si>
    <t>DSTB Total</t>
  </si>
  <si>
    <t>DSTB Transfer out (TFO)</t>
  </si>
  <si>
    <t>DSTB Transfer out (TFO) rate</t>
  </si>
  <si>
    <t>TB Rif resistant</t>
  </si>
  <si>
    <t>TB MDR</t>
  </si>
  <si>
    <t>TB Total all cases</t>
  </si>
  <si>
    <t>Duplicates found</t>
  </si>
  <si>
    <t>LF-LAM</t>
  </si>
  <si>
    <t>Element</t>
  </si>
  <si>
    <t>Data</t>
  </si>
  <si>
    <t>Total eligile for LF LAM test</t>
  </si>
  <si>
    <t>People with CD4 &lt;200</t>
  </si>
  <si>
    <t>People with tested with ULAM</t>
  </si>
  <si>
    <t>People with TB confirmed</t>
  </si>
  <si>
    <t>People with started TB treatment</t>
  </si>
  <si>
    <t>Nkadimeng Rantsolase</t>
  </si>
  <si>
    <t>Facility Name</t>
  </si>
  <si>
    <t>Empilisweni CHC</t>
  </si>
  <si>
    <t xml:space="preserve">District </t>
  </si>
  <si>
    <t>Sub-district</t>
  </si>
  <si>
    <t>Routine Monthly report</t>
  </si>
  <si>
    <t>Patient file/ TB register</t>
  </si>
  <si>
    <t>Training / Mentorship / orientation [Training Content : TIER.Net  DHIS - specify]</t>
  </si>
  <si>
    <t xml:space="preserve">Aurum Staff Initials </t>
  </si>
  <si>
    <t>Type of intervention</t>
  </si>
  <si>
    <t>Training / Mentorship content</t>
  </si>
  <si>
    <t xml:space="preserve">DoH Staff Name </t>
  </si>
  <si>
    <t>Title of staff trained</t>
  </si>
  <si>
    <t>Outcome and time spent on in-service training / mentorship</t>
  </si>
  <si>
    <t>Follow up visit Date</t>
  </si>
  <si>
    <t>Period</t>
  </si>
  <si>
    <t>Training validation topic</t>
  </si>
  <si>
    <t>Oct 2024 -Apr 2025</t>
  </si>
  <si>
    <t>TIER.Net data capturing</t>
  </si>
  <si>
    <t>Apr 2025 -Sep 2025</t>
  </si>
  <si>
    <t>ICD10 codes</t>
  </si>
  <si>
    <t>Updating clinical stationery</t>
  </si>
  <si>
    <t>QIP development</t>
  </si>
  <si>
    <t>TD ID completion</t>
  </si>
  <si>
    <t>DHIS data verification</t>
  </si>
  <si>
    <t>TIER.Net &amp; DHIS triangulation</t>
  </si>
  <si>
    <t>Monthly feedback</t>
  </si>
  <si>
    <t>DQA best practices</t>
  </si>
  <si>
    <t>Verification of monthly data on DHIS</t>
  </si>
  <si>
    <t>Dataset</t>
  </si>
  <si>
    <t>Date of visit</t>
  </si>
  <si>
    <t>District</t>
  </si>
  <si>
    <t>Data type</t>
  </si>
  <si>
    <t>Age category</t>
  </si>
  <si>
    <t>CIR/TB register</t>
  </si>
  <si>
    <t>RMR</t>
  </si>
  <si>
    <t>Staff trained</t>
  </si>
  <si>
    <t>Content of training/mentorship</t>
  </si>
  <si>
    <t>Staff position</t>
  </si>
  <si>
    <t>Stationery version</t>
  </si>
  <si>
    <t>Comments regarding sationery</t>
  </si>
  <si>
    <t>TB cascade</t>
  </si>
  <si>
    <t>TPT</t>
  </si>
  <si>
    <t>All ages</t>
  </si>
  <si>
    <t>DSTB outcome</t>
  </si>
  <si>
    <t>Over 5 years</t>
  </si>
  <si>
    <t>TB register lists</t>
  </si>
  <si>
    <t>LFLAM</t>
  </si>
  <si>
    <t>TB stationery</t>
  </si>
  <si>
    <t>Training</t>
  </si>
  <si>
    <t>Zolile Nonzapa</t>
  </si>
  <si>
    <t>Soweto Clinic</t>
  </si>
  <si>
    <t>NMB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</si>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</sst>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 Nova Cond"/>
      <family val="2"/>
    </font>
    <font>
      <sz val="11"/>
      <color theme="1"/>
      <name val="Arial Nova Cond"/>
      <family val="2"/>
    </font>
    <font>
      <b/>
      <sz val="18"/>
      <color theme="0"/>
      <name val="Arial Nova Cond"/>
      <family val="2"/>
    </font>
    <font>
      <b/>
      <sz val="11"/>
      <color theme="1"/>
      <name val="Arial Nova Cond"/>
      <family val="2"/>
    </font>
    <font>
      <sz val="10"/>
      <color theme="1"/>
      <name val="Arial Nova Cond"/>
      <family val="2"/>
    </font>
    <font>
      <i/>
      <sz val="11"/>
      <color theme="1"/>
      <name val="Arial Nova Cond"/>
      <family val="2"/>
    </font>
    <font>
      <i/>
      <sz val="11"/>
      <color rgb="FFFF0000"/>
      <name val="Arial Nova Cond"/>
      <family val="2"/>
    </font>
    <font>
      <b/>
      <sz val="10"/>
      <color theme="1"/>
      <name val="Arial Nova Cond"/>
      <family val="2"/>
    </font>
    <font>
      <b/>
      <sz val="11"/>
      <color theme="0"/>
      <name val="Arial Nova Cond"/>
      <family val="2"/>
    </font>
    <font>
      <sz val="11"/>
      <color theme="1" tint="0.499984740745262"/>
      <name val="Arial Nova Cond"/>
      <family val="2"/>
    </font>
    <font>
      <sz val="11"/>
      <name val="Arial Nova Cond"/>
      <family val="2"/>
    </font>
    <font>
      <sz val="11"/>
      <color theme="1" tint="0.34998626667073579"/>
      <name val="Arial Nova Cond"/>
      <family val="2"/>
    </font>
    <font>
      <b/>
      <sz val="12"/>
      <color theme="0"/>
      <name val="Arial Nova Cond"/>
      <family val="2"/>
    </font>
    <font>
      <b/>
      <sz val="11"/>
      <color rgb="FFFFC000"/>
      <name val="Arial Nova Cond"/>
      <family val="2"/>
    </font>
    <font>
      <b/>
      <sz val="11"/>
      <color rgb="FFC00000"/>
      <name val="Arial Nova Cond"/>
      <family val="2"/>
    </font>
    <font>
      <sz val="11"/>
      <name val="Calibri"/>
      <family val="2"/>
      <scheme val="minor"/>
    </font>
    <font>
      <b/>
      <sz val="14"/>
      <color theme="0"/>
      <name val="Aptos Display"/>
      <family val="2"/>
    </font>
    <font>
      <b/>
      <sz val="11"/>
      <color theme="0"/>
      <name val="Aptos Display"/>
      <family val="2"/>
    </font>
    <font>
      <sz val="11"/>
      <color theme="1"/>
      <name val="Aptos Display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Neue Haas Grotesk Text Pro"/>
      <family val="2"/>
    </font>
    <font>
      <sz val="11"/>
      <color theme="1"/>
      <name val="Neue Haas Grotesk Text Pro"/>
      <family val="2"/>
    </font>
    <font>
      <b/>
      <sz val="18"/>
      <color theme="1"/>
      <name val="Neue Haas Grotesk Text Pro"/>
      <family val="2"/>
    </font>
    <font>
      <sz val="12"/>
      <color rgb="FF4E4E4B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75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/>
      <bottom style="thin">
        <color rgb="FFC00000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2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2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2" fillId="2" borderId="5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5" fillId="0" borderId="4" xfId="0" applyFont="1" applyBorder="1"/>
    <xf numFmtId="0" fontId="6" fillId="0" borderId="0" xfId="0" applyFont="1"/>
    <xf numFmtId="0" fontId="6" fillId="0" borderId="6" xfId="0" applyFont="1" applyBorder="1"/>
    <xf numFmtId="0" fontId="6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6" fillId="0" borderId="9" xfId="0" applyFont="1" applyBorder="1"/>
    <xf numFmtId="0" fontId="3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3" fillId="0" borderId="12" xfId="0" applyFont="1" applyBorder="1"/>
    <xf numFmtId="0" fontId="3" fillId="0" borderId="13" xfId="0" applyFont="1" applyBorder="1"/>
    <xf numFmtId="0" fontId="5" fillId="0" borderId="14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0" xfId="0" applyFont="1" applyAlignment="1">
      <alignment horizontal="center"/>
    </xf>
    <xf numFmtId="0" fontId="10" fillId="2" borderId="0" xfId="0" applyFont="1" applyFill="1"/>
    <xf numFmtId="0" fontId="11" fillId="3" borderId="18" xfId="0" applyFont="1" applyFill="1" applyBorder="1" applyProtection="1">
      <protection locked="0"/>
    </xf>
    <xf numFmtId="0" fontId="11" fillId="3" borderId="19" xfId="0" applyFont="1" applyFill="1" applyBorder="1" applyProtection="1">
      <protection locked="0"/>
    </xf>
    <xf numFmtId="0" fontId="11" fillId="4" borderId="18" xfId="0" applyFont="1" applyFill="1" applyBorder="1" applyProtection="1">
      <protection locked="0"/>
    </xf>
    <xf numFmtId="0" fontId="12" fillId="4" borderId="20" xfId="0" applyFont="1" applyFill="1" applyBorder="1" applyProtection="1">
      <protection locked="0"/>
    </xf>
    <xf numFmtId="0" fontId="11" fillId="5" borderId="21" xfId="0" applyFont="1" applyFill="1" applyBorder="1" applyProtection="1">
      <protection locked="0"/>
    </xf>
    <xf numFmtId="0" fontId="11" fillId="4" borderId="20" xfId="0" applyFont="1" applyFill="1" applyBorder="1" applyProtection="1">
      <protection locked="0"/>
    </xf>
    <xf numFmtId="17" fontId="12" fillId="4" borderId="20" xfId="0" applyNumberFormat="1" applyFont="1" applyFill="1" applyBorder="1" applyProtection="1">
      <protection locked="0"/>
    </xf>
    <xf numFmtId="15" fontId="13" fillId="5" borderId="21" xfId="0" applyNumberFormat="1" applyFont="1" applyFill="1" applyBorder="1" applyProtection="1">
      <protection locked="0"/>
    </xf>
    <xf numFmtId="0" fontId="3" fillId="5" borderId="21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2" fillId="2" borderId="0" xfId="0" applyFont="1" applyFill="1"/>
    <xf numFmtId="0" fontId="2" fillId="2" borderId="22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0" fillId="7" borderId="26" xfId="0" applyFont="1" applyFill="1" applyBorder="1" applyAlignment="1">
      <alignment horizontal="center"/>
    </xf>
    <xf numFmtId="0" fontId="10" fillId="7" borderId="27" xfId="0" applyFont="1" applyFill="1" applyBorder="1" applyAlignment="1">
      <alignment horizontal="center"/>
    </xf>
    <xf numFmtId="0" fontId="10" fillId="7" borderId="28" xfId="0" applyFont="1" applyFill="1" applyBorder="1" applyAlignment="1">
      <alignment horizontal="center"/>
    </xf>
    <xf numFmtId="0" fontId="13" fillId="0" borderId="21" xfId="0" applyFont="1" applyBorder="1"/>
    <xf numFmtId="0" fontId="3" fillId="0" borderId="21" xfId="0" applyFont="1" applyBorder="1" applyAlignment="1" applyProtection="1">
      <alignment horizontal="center"/>
      <protection locked="0"/>
    </xf>
    <xf numFmtId="0" fontId="3" fillId="5" borderId="21" xfId="0" applyFont="1" applyFill="1" applyBorder="1" applyAlignment="1">
      <alignment horizontal="center"/>
    </xf>
    <xf numFmtId="0" fontId="13" fillId="8" borderId="21" xfId="0" applyFont="1" applyFill="1" applyBorder="1" applyAlignment="1" applyProtection="1">
      <alignment horizontal="center"/>
      <protection locked="0"/>
    </xf>
    <xf numFmtId="0" fontId="5" fillId="0" borderId="16" xfId="0" applyFont="1" applyBorder="1" applyAlignment="1" applyProtection="1">
      <alignment horizontal="center"/>
      <protection locked="0"/>
    </xf>
    <xf numFmtId="0" fontId="5" fillId="0" borderId="29" xfId="0" applyFont="1" applyBorder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center"/>
      <protection locked="0"/>
    </xf>
    <xf numFmtId="0" fontId="5" fillId="0" borderId="28" xfId="0" applyFont="1" applyBorder="1" applyAlignment="1" applyProtection="1">
      <alignment horizontal="center"/>
      <protection locked="0"/>
    </xf>
    <xf numFmtId="9" fontId="3" fillId="0" borderId="21" xfId="1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3" fillId="0" borderId="27" xfId="0" applyFont="1" applyBorder="1" applyAlignment="1" applyProtection="1">
      <alignment horizontal="center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5" borderId="3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9" fontId="3" fillId="0" borderId="31" xfId="1" applyFont="1" applyFill="1" applyBorder="1" applyAlignment="1">
      <alignment horizontal="center"/>
    </xf>
    <xf numFmtId="0" fontId="15" fillId="9" borderId="0" xfId="0" applyFont="1" applyFill="1" applyAlignment="1">
      <alignment horizontal="left"/>
    </xf>
    <xf numFmtId="0" fontId="15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32" xfId="0" applyFont="1" applyFill="1" applyBorder="1" applyAlignment="1" applyProtection="1">
      <alignment horizontal="center"/>
      <protection locked="0"/>
    </xf>
    <xf numFmtId="0" fontId="3" fillId="10" borderId="33" xfId="0" applyFont="1" applyFill="1" applyBorder="1" applyAlignment="1" applyProtection="1">
      <alignment horizontal="center"/>
      <protection locked="0"/>
    </xf>
    <xf numFmtId="0" fontId="3" fillId="10" borderId="32" xfId="0" applyFont="1" applyFill="1" applyBorder="1" applyAlignment="1">
      <alignment horizontal="center"/>
    </xf>
    <xf numFmtId="0" fontId="16" fillId="7" borderId="0" xfId="0" applyFont="1" applyFill="1"/>
    <xf numFmtId="0" fontId="10" fillId="7" borderId="34" xfId="0" applyFont="1" applyFill="1" applyBorder="1" applyAlignment="1">
      <alignment horizontal="center"/>
    </xf>
    <xf numFmtId="0" fontId="10" fillId="7" borderId="3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/>
    <xf numFmtId="0" fontId="2" fillId="7" borderId="36" xfId="0" applyFont="1" applyFill="1" applyBorder="1"/>
    <xf numFmtId="0" fontId="2" fillId="7" borderId="37" xfId="0" applyFont="1" applyFill="1" applyBorder="1"/>
    <xf numFmtId="0" fontId="2" fillId="7" borderId="38" xfId="0" applyFont="1" applyFill="1" applyBorder="1"/>
    <xf numFmtId="0" fontId="2" fillId="7" borderId="0" xfId="0" applyFont="1" applyFill="1"/>
    <xf numFmtId="0" fontId="10" fillId="7" borderId="39" xfId="0" applyFont="1" applyFill="1" applyBorder="1" applyAlignment="1" applyProtection="1">
      <alignment horizontal="center"/>
      <protection locked="0"/>
    </xf>
    <xf numFmtId="0" fontId="10" fillId="7" borderId="40" xfId="0" applyFont="1" applyFill="1" applyBorder="1" applyProtection="1">
      <protection locked="0"/>
    </xf>
    <xf numFmtId="0" fontId="10" fillId="7" borderId="39" xfId="0" applyFont="1" applyFill="1" applyBorder="1" applyProtection="1">
      <protection locked="0"/>
    </xf>
    <xf numFmtId="0" fontId="10" fillId="7" borderId="40" xfId="0" applyFont="1" applyFill="1" applyBorder="1" applyAlignment="1" applyProtection="1">
      <alignment horizontal="center"/>
      <protection locked="0"/>
    </xf>
    <xf numFmtId="0" fontId="10" fillId="7" borderId="41" xfId="0" applyFont="1" applyFill="1" applyBorder="1" applyProtection="1">
      <protection locked="0"/>
    </xf>
    <xf numFmtId="0" fontId="10" fillId="7" borderId="41" xfId="0" applyFont="1" applyFill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42" xfId="0" applyFont="1" applyBorder="1" applyAlignment="1" applyProtection="1">
      <alignment horizontal="center"/>
      <protection locked="0"/>
    </xf>
    <xf numFmtId="0" fontId="3" fillId="0" borderId="40" xfId="0" applyFont="1" applyBorder="1" applyProtection="1">
      <protection locked="0"/>
    </xf>
    <xf numFmtId="0" fontId="3" fillId="5" borderId="43" xfId="0" applyFont="1" applyFill="1" applyBorder="1" applyAlignment="1">
      <alignment horizontal="center"/>
    </xf>
    <xf numFmtId="0" fontId="3" fillId="0" borderId="41" xfId="0" applyFont="1" applyBorder="1" applyProtection="1">
      <protection locked="0"/>
    </xf>
    <xf numFmtId="0" fontId="3" fillId="0" borderId="41" xfId="0" applyFont="1" applyBorder="1" applyAlignment="1" applyProtection="1">
      <alignment horizontal="center"/>
      <protection locked="0"/>
    </xf>
    <xf numFmtId="0" fontId="3" fillId="0" borderId="40" xfId="0" applyFont="1" applyBorder="1" applyAlignment="1" applyProtection="1">
      <alignment horizontal="center"/>
      <protection locked="0"/>
    </xf>
    <xf numFmtId="0" fontId="3" fillId="9" borderId="21" xfId="0" applyFont="1" applyFill="1" applyBorder="1" applyAlignment="1" applyProtection="1">
      <alignment horizontal="center"/>
      <protection locked="0"/>
    </xf>
    <xf numFmtId="0" fontId="12" fillId="0" borderId="21" xfId="0" applyFont="1" applyBorder="1"/>
    <xf numFmtId="0" fontId="12" fillId="10" borderId="32" xfId="0" applyFont="1" applyFill="1" applyBorder="1"/>
    <xf numFmtId="0" fontId="13" fillId="11" borderId="0" xfId="0" applyFont="1" applyFill="1"/>
    <xf numFmtId="9" fontId="3" fillId="11" borderId="0" xfId="1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10" fillId="6" borderId="21" xfId="0" applyFont="1" applyFill="1" applyBorder="1"/>
    <xf numFmtId="0" fontId="3" fillId="6" borderId="44" xfId="0" applyFont="1" applyFill="1" applyBorder="1"/>
    <xf numFmtId="0" fontId="10" fillId="0" borderId="30" xfId="0" applyFont="1" applyBorder="1"/>
    <xf numFmtId="0" fontId="5" fillId="0" borderId="30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41" xfId="0" applyFont="1" applyBorder="1"/>
    <xf numFmtId="0" fontId="5" fillId="0" borderId="41" xfId="0" applyFont="1" applyBorder="1"/>
    <xf numFmtId="0" fontId="5" fillId="0" borderId="40" xfId="0" applyFont="1" applyBorder="1"/>
    <xf numFmtId="0" fontId="13" fillId="0" borderId="45" xfId="0" applyFont="1" applyBorder="1"/>
    <xf numFmtId="0" fontId="3" fillId="0" borderId="30" xfId="0" applyFont="1" applyBorder="1" applyAlignment="1" applyProtection="1">
      <alignment horizontal="center"/>
      <protection locked="0"/>
    </xf>
    <xf numFmtId="0" fontId="13" fillId="0" borderId="20" xfId="0" applyFont="1" applyBorder="1"/>
    <xf numFmtId="0" fontId="3" fillId="0" borderId="48" xfId="0" applyFont="1" applyBorder="1" applyAlignment="1" applyProtection="1">
      <alignment horizontal="center"/>
      <protection locked="0"/>
    </xf>
    <xf numFmtId="0" fontId="3" fillId="0" borderId="43" xfId="0" applyFont="1" applyBorder="1" applyAlignment="1" applyProtection="1">
      <alignment horizontal="center"/>
      <protection locked="0"/>
    </xf>
    <xf numFmtId="0" fontId="3" fillId="11" borderId="19" xfId="0" applyFont="1" applyFill="1" applyBorder="1"/>
    <xf numFmtId="0" fontId="10" fillId="0" borderId="21" xfId="0" applyFont="1" applyBorder="1"/>
    <xf numFmtId="0" fontId="5" fillId="0" borderId="21" xfId="0" applyFont="1" applyBorder="1" applyAlignment="1">
      <alignment horizontal="center" wrapText="1"/>
    </xf>
    <xf numFmtId="0" fontId="5" fillId="0" borderId="21" xfId="0" applyFont="1" applyBorder="1" applyAlignment="1">
      <alignment horizontal="center" vertical="center"/>
    </xf>
    <xf numFmtId="0" fontId="5" fillId="11" borderId="21" xfId="0" applyFont="1" applyFill="1" applyBorder="1" applyAlignment="1">
      <alignment horizontal="center"/>
    </xf>
    <xf numFmtId="0" fontId="5" fillId="0" borderId="48" xfId="0" applyFont="1" applyBorder="1"/>
    <xf numFmtId="0" fontId="3" fillId="11" borderId="21" xfId="0" applyFont="1" applyFill="1" applyBorder="1" applyAlignment="1">
      <alignment horizontal="center"/>
    </xf>
    <xf numFmtId="9" fontId="3" fillId="11" borderId="21" xfId="1" applyFont="1" applyFill="1" applyBorder="1" applyAlignment="1" applyProtection="1">
      <alignment horizontal="center"/>
    </xf>
    <xf numFmtId="0" fontId="3" fillId="11" borderId="49" xfId="0" applyFont="1" applyFill="1" applyBorder="1" applyProtection="1">
      <protection locked="0"/>
    </xf>
    <xf numFmtId="0" fontId="3" fillId="11" borderId="50" xfId="0" applyFont="1" applyFill="1" applyBorder="1" applyProtection="1">
      <protection locked="0"/>
    </xf>
    <xf numFmtId="0" fontId="3" fillId="11" borderId="44" xfId="0" applyFont="1" applyFill="1" applyBorder="1" applyProtection="1">
      <protection locked="0"/>
    </xf>
    <xf numFmtId="0" fontId="3" fillId="11" borderId="0" xfId="0" applyFont="1" applyFill="1" applyProtection="1">
      <protection locked="0"/>
    </xf>
    <xf numFmtId="0" fontId="3" fillId="0" borderId="46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47" xfId="0" applyFont="1" applyBorder="1" applyProtection="1">
      <protection locked="0"/>
    </xf>
    <xf numFmtId="0" fontId="3" fillId="11" borderId="21" xfId="0" applyFont="1" applyFill="1" applyBorder="1"/>
    <xf numFmtId="0" fontId="3" fillId="11" borderId="46" xfId="0" applyFont="1" applyFill="1" applyBorder="1"/>
    <xf numFmtId="0" fontId="3" fillId="11" borderId="25" xfId="0" applyFont="1" applyFill="1" applyBorder="1"/>
    <xf numFmtId="0" fontId="12" fillId="12" borderId="21" xfId="0" applyFont="1" applyFill="1" applyBorder="1"/>
    <xf numFmtId="0" fontId="12" fillId="12" borderId="21" xfId="0" applyFont="1" applyFill="1" applyBorder="1" applyAlignment="1">
      <alignment horizontal="center"/>
    </xf>
    <xf numFmtId="0" fontId="12" fillId="12" borderId="44" xfId="0" applyFont="1" applyFill="1" applyBorder="1" applyProtection="1">
      <protection locked="0"/>
    </xf>
    <xf numFmtId="0" fontId="12" fillId="12" borderId="0" xfId="0" applyFont="1" applyFill="1" applyProtection="1">
      <protection locked="0"/>
    </xf>
    <xf numFmtId="0" fontId="17" fillId="0" borderId="0" xfId="0" applyFont="1"/>
    <xf numFmtId="0" fontId="12" fillId="12" borderId="21" xfId="1" applyNumberFormat="1" applyFont="1" applyFill="1" applyBorder="1" applyAlignment="1" applyProtection="1">
      <alignment horizontal="center"/>
    </xf>
    <xf numFmtId="0" fontId="18" fillId="12" borderId="53" xfId="0" applyFont="1" applyFill="1" applyBorder="1" applyAlignment="1">
      <alignment vertical="center"/>
    </xf>
    <xf numFmtId="0" fontId="19" fillId="12" borderId="0" xfId="0" applyFont="1" applyFill="1"/>
    <xf numFmtId="0" fontId="19" fillId="12" borderId="54" xfId="0" applyFont="1" applyFill="1" applyBorder="1" applyAlignment="1">
      <alignment wrapText="1"/>
    </xf>
    <xf numFmtId="0" fontId="19" fillId="12" borderId="54" xfId="0" applyFont="1" applyFill="1" applyBorder="1" applyAlignment="1">
      <alignment horizontal="center"/>
    </xf>
    <xf numFmtId="0" fontId="19" fillId="12" borderId="55" xfId="0" applyFont="1" applyFill="1" applyBorder="1"/>
    <xf numFmtId="15" fontId="20" fillId="0" borderId="54" xfId="0" applyNumberFormat="1" applyFont="1" applyBorder="1" applyProtection="1">
      <protection locked="0"/>
    </xf>
    <xf numFmtId="0" fontId="20" fillId="0" borderId="54" xfId="0" applyFont="1" applyBorder="1" applyProtection="1">
      <protection locked="0"/>
    </xf>
    <xf numFmtId="0" fontId="20" fillId="0" borderId="55" xfId="0" applyFont="1" applyBorder="1" applyAlignment="1" applyProtection="1">
      <alignment horizontal="left"/>
      <protection locked="0"/>
    </xf>
    <xf numFmtId="0" fontId="20" fillId="0" borderId="0" xfId="0" applyFont="1"/>
    <xf numFmtId="0" fontId="21" fillId="12" borderId="18" xfId="0" applyFont="1" applyFill="1" applyBorder="1" applyProtection="1">
      <protection locked="0"/>
    </xf>
    <xf numFmtId="0" fontId="22" fillId="0" borderId="0" xfId="0" applyFont="1"/>
    <xf numFmtId="0" fontId="21" fillId="12" borderId="19" xfId="0" applyFont="1" applyFill="1" applyBorder="1" applyProtection="1">
      <protection locked="0"/>
    </xf>
    <xf numFmtId="0" fontId="22" fillId="0" borderId="54" xfId="0" applyFont="1" applyBorder="1"/>
    <xf numFmtId="17" fontId="22" fillId="0" borderId="54" xfId="0" applyNumberFormat="1" applyFont="1" applyBorder="1"/>
    <xf numFmtId="0" fontId="22" fillId="12" borderId="0" xfId="0" applyFont="1" applyFill="1"/>
    <xf numFmtId="0" fontId="22" fillId="0" borderId="58" xfId="0" applyFont="1" applyBorder="1"/>
    <xf numFmtId="0" fontId="22" fillId="12" borderId="54" xfId="0" applyFont="1" applyFill="1" applyBorder="1"/>
    <xf numFmtId="0" fontId="22" fillId="12" borderId="58" xfId="0" applyFont="1" applyFill="1" applyBorder="1"/>
    <xf numFmtId="0" fontId="3" fillId="12" borderId="21" xfId="0" applyFont="1" applyFill="1" applyBorder="1"/>
    <xf numFmtId="14" fontId="3" fillId="12" borderId="21" xfId="0" applyNumberFormat="1" applyFont="1" applyFill="1" applyBorder="1" applyAlignment="1">
      <alignment horizontal="center" wrapText="1"/>
    </xf>
    <xf numFmtId="0" fontId="3" fillId="5" borderId="20" xfId="0" applyFont="1" applyFill="1" applyBorder="1" applyProtection="1">
      <protection locked="0"/>
    </xf>
    <xf numFmtId="0" fontId="3" fillId="5" borderId="18" xfId="0" applyFont="1" applyFill="1" applyBorder="1" applyProtection="1">
      <protection locked="0"/>
    </xf>
    <xf numFmtId="15" fontId="3" fillId="5" borderId="21" xfId="0" applyNumberFormat="1" applyFont="1" applyFill="1" applyBorder="1" applyProtection="1">
      <protection locked="0"/>
    </xf>
    <xf numFmtId="0" fontId="13" fillId="0" borderId="59" xfId="0" applyFont="1" applyBorder="1"/>
    <xf numFmtId="17" fontId="3" fillId="4" borderId="20" xfId="0" applyNumberFormat="1" applyFont="1" applyFill="1" applyBorder="1" applyProtection="1">
      <protection locked="0"/>
    </xf>
    <xf numFmtId="17" fontId="3" fillId="5" borderId="20" xfId="0" applyNumberFormat="1" applyFont="1" applyFill="1" applyBorder="1" applyProtection="1">
      <protection locked="0"/>
    </xf>
    <xf numFmtId="0" fontId="5" fillId="0" borderId="3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wrapText="1"/>
    </xf>
    <xf numFmtId="0" fontId="13" fillId="0" borderId="21" xfId="0" applyFont="1" applyBorder="1" applyAlignment="1" applyProtection="1">
      <alignment horizontal="center"/>
      <protection locked="0"/>
    </xf>
    <xf numFmtId="0" fontId="23" fillId="13" borderId="18" xfId="0" applyFont="1" applyFill="1" applyBorder="1" applyAlignment="1">
      <alignment horizontal="center"/>
    </xf>
    <xf numFmtId="0" fontId="23" fillId="13" borderId="18" xfId="0" applyFont="1" applyFill="1" applyBorder="1"/>
    <xf numFmtId="0" fontId="24" fillId="0" borderId="18" xfId="0" applyFont="1" applyBorder="1"/>
    <xf numFmtId="0" fontId="24" fillId="0" borderId="20" xfId="0" applyFont="1" applyBorder="1" applyAlignment="1">
      <alignment wrapText="1"/>
    </xf>
    <xf numFmtId="0" fontId="23" fillId="0" borderId="20" xfId="0" applyFont="1" applyBorder="1"/>
    <xf numFmtId="0" fontId="24" fillId="0" borderId="20" xfId="0" applyFont="1" applyBorder="1"/>
    <xf numFmtId="0" fontId="24" fillId="0" borderId="19" xfId="0" applyFont="1" applyBorder="1"/>
    <xf numFmtId="0" fontId="24" fillId="14" borderId="0" xfId="0" applyFont="1" applyFill="1"/>
    <xf numFmtId="0" fontId="24" fillId="0" borderId="60" xfId="0" applyFont="1" applyBorder="1"/>
    <xf numFmtId="0" fontId="24" fillId="0" borderId="61" xfId="0" applyFont="1" applyBorder="1"/>
    <xf numFmtId="0" fontId="24" fillId="0" borderId="63" xfId="0" applyFont="1" applyBorder="1"/>
    <xf numFmtId="0" fontId="0" fillId="0" borderId="64" xfId="0" applyBorder="1"/>
    <xf numFmtId="0" fontId="24" fillId="0" borderId="64" xfId="0" applyFont="1" applyBorder="1"/>
    <xf numFmtId="0" fontId="0" fillId="15" borderId="64" xfId="0" applyFill="1" applyBorder="1"/>
    <xf numFmtId="0" fontId="23" fillId="15" borderId="62" xfId="0" applyFont="1" applyFill="1" applyBorder="1"/>
    <xf numFmtId="0" fontId="26" fillId="10" borderId="65" xfId="0" applyFont="1" applyFill="1" applyBorder="1" applyAlignment="1">
      <alignment horizontal="left" vertical="center" wrapText="1"/>
    </xf>
    <xf numFmtId="0" fontId="27" fillId="16" borderId="66" xfId="0" applyFont="1" applyFill="1" applyBorder="1" applyAlignment="1">
      <alignment vertical="center" wrapText="1"/>
    </xf>
    <xf numFmtId="0" fontId="27" fillId="16" borderId="67" xfId="0" applyFont="1" applyFill="1" applyBorder="1" applyAlignment="1">
      <alignment vertical="center" wrapText="1"/>
    </xf>
    <xf numFmtId="0" fontId="26" fillId="10" borderId="69" xfId="0" applyFont="1" applyFill="1" applyBorder="1" applyAlignment="1">
      <alignment horizontal="left" vertical="center" wrapText="1"/>
    </xf>
    <xf numFmtId="0" fontId="26" fillId="10" borderId="71" xfId="0" applyFont="1" applyFill="1" applyBorder="1" applyAlignment="1">
      <alignment horizontal="left" vertical="center" wrapText="1"/>
    </xf>
    <xf numFmtId="0" fontId="26" fillId="10" borderId="72" xfId="0" applyFont="1" applyFill="1" applyBorder="1" applyAlignment="1">
      <alignment horizontal="left" vertical="center" wrapText="1"/>
    </xf>
    <xf numFmtId="0" fontId="0" fillId="11" borderId="0" xfId="0" applyFill="1" applyAlignment="1">
      <alignment wrapText="1"/>
    </xf>
    <xf numFmtId="0" fontId="0" fillId="11" borderId="0" xfId="0" applyFill="1"/>
    <xf numFmtId="0" fontId="0" fillId="0" borderId="0" xfId="0" applyAlignment="1">
      <alignment wrapText="1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wrapText="1"/>
      <protection locked="0"/>
    </xf>
    <xf numFmtId="0" fontId="5" fillId="0" borderId="73" xfId="0" applyFont="1" applyBorder="1" applyAlignment="1" applyProtection="1">
      <alignment horizontal="center" wrapText="1"/>
      <protection locked="0"/>
    </xf>
    <xf numFmtId="0" fontId="5" fillId="0" borderId="60" xfId="0" applyFont="1" applyBorder="1" applyAlignment="1" applyProtection="1">
      <alignment horizontal="center" wrapText="1"/>
      <protection locked="0"/>
    </xf>
    <xf numFmtId="0" fontId="13" fillId="0" borderId="30" xfId="0" applyFont="1" applyBorder="1" applyProtection="1">
      <protection locked="0"/>
    </xf>
    <xf numFmtId="0" fontId="27" fillId="16" borderId="68" xfId="0" applyFont="1" applyFill="1" applyBorder="1" applyAlignment="1">
      <alignment horizontal="center" vertical="center" textRotation="90" wrapText="1"/>
    </xf>
    <xf numFmtId="0" fontId="27" fillId="16" borderId="70" xfId="0" applyFont="1" applyFill="1" applyBorder="1" applyAlignment="1">
      <alignment horizontal="center" vertical="center" textRotation="90" wrapText="1"/>
    </xf>
    <xf numFmtId="0" fontId="23" fillId="13" borderId="18" xfId="0" applyFont="1" applyFill="1" applyBorder="1" applyAlignment="1">
      <alignment horizontal="center"/>
    </xf>
    <xf numFmtId="0" fontId="23" fillId="13" borderId="20" xfId="0" applyFont="1" applyFill="1" applyBorder="1" applyAlignment="1">
      <alignment horizontal="center"/>
    </xf>
    <xf numFmtId="0" fontId="25" fillId="0" borderId="5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3" fillId="0" borderId="20" xfId="0" applyFont="1" applyBorder="1" applyAlignment="1" applyProtection="1">
      <alignment horizontal="center"/>
      <protection locked="0"/>
    </xf>
    <xf numFmtId="0" fontId="13" fillId="0" borderId="73" xfId="0" applyFont="1" applyBorder="1" applyAlignment="1" applyProtection="1">
      <alignment horizontal="center"/>
      <protection locked="0"/>
    </xf>
    <xf numFmtId="0" fontId="13" fillId="0" borderId="60" xfId="0" applyFont="1" applyBorder="1" applyAlignment="1" applyProtection="1">
      <alignment horizontal="center"/>
      <protection locked="0"/>
    </xf>
    <xf numFmtId="0" fontId="2" fillId="2" borderId="74" xfId="0" applyFont="1" applyFill="1" applyBorder="1" applyAlignment="1">
      <alignment horizontal="center"/>
    </xf>
    <xf numFmtId="0" fontId="5" fillId="0" borderId="20" xfId="0" applyFont="1" applyBorder="1" applyAlignment="1">
      <alignment horizontal="center" wrapText="1"/>
    </xf>
    <xf numFmtId="0" fontId="5" fillId="0" borderId="73" xfId="0" applyFont="1" applyBorder="1" applyAlignment="1">
      <alignment horizontal="center" wrapText="1"/>
    </xf>
    <xf numFmtId="0" fontId="5" fillId="0" borderId="60" xfId="0" applyFont="1" applyBorder="1" applyAlignment="1">
      <alignment horizontal="center" wrapText="1"/>
    </xf>
    <xf numFmtId="0" fontId="3" fillId="0" borderId="46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3" fillId="0" borderId="47" xfId="0" applyFont="1" applyBorder="1" applyAlignment="1" applyProtection="1">
      <alignment horizontal="center"/>
      <protection locked="0"/>
    </xf>
    <xf numFmtId="0" fontId="3" fillId="0" borderId="49" xfId="0" applyFont="1" applyBorder="1" applyAlignment="1" applyProtection="1">
      <alignment horizontal="center"/>
      <protection locked="0"/>
    </xf>
    <xf numFmtId="0" fontId="3" fillId="0" borderId="50" xfId="0" applyFont="1" applyBorder="1" applyAlignment="1" applyProtection="1">
      <alignment horizontal="center"/>
      <protection locked="0"/>
    </xf>
    <xf numFmtId="0" fontId="3" fillId="0" borderId="52" xfId="0" applyFont="1" applyBorder="1" applyAlignment="1" applyProtection="1">
      <alignment horizontal="center"/>
      <protection locked="0"/>
    </xf>
    <xf numFmtId="0" fontId="3" fillId="0" borderId="30" xfId="0" applyFont="1" applyBorder="1" applyAlignment="1" applyProtection="1">
      <alignment horizontal="center"/>
      <protection locked="0"/>
    </xf>
    <xf numFmtId="0" fontId="3" fillId="0" borderId="48" xfId="0" applyFont="1" applyBorder="1" applyAlignment="1" applyProtection="1">
      <alignment horizontal="center"/>
      <protection locked="0"/>
    </xf>
    <xf numFmtId="0" fontId="3" fillId="0" borderId="43" xfId="0" applyFon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51" xfId="0" applyFont="1" applyBorder="1" applyAlignment="1" applyProtection="1">
      <alignment horizontal="center"/>
      <protection locked="0"/>
    </xf>
    <xf numFmtId="0" fontId="14" fillId="6" borderId="0" xfId="0" applyFont="1" applyFill="1" applyAlignment="1">
      <alignment horizontal="center" wrapText="1"/>
    </xf>
    <xf numFmtId="0" fontId="14" fillId="6" borderId="25" xfId="0" applyFont="1" applyFill="1" applyBorder="1" applyAlignment="1">
      <alignment horizontal="center" wrapText="1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0" fillId="7" borderId="34" xfId="0" applyFont="1" applyFill="1" applyBorder="1" applyAlignment="1">
      <alignment horizontal="center"/>
    </xf>
    <xf numFmtId="0" fontId="10" fillId="7" borderId="35" xfId="0" applyFont="1" applyFill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20" fillId="0" borderId="54" xfId="0" applyFont="1" applyBorder="1" applyProtection="1">
      <protection locked="0"/>
    </xf>
    <xf numFmtId="0" fontId="20" fillId="0" borderId="55" xfId="0" applyFont="1" applyBorder="1" applyAlignment="1" applyProtection="1">
      <alignment horizontal="center"/>
      <protection locked="0"/>
    </xf>
    <xf numFmtId="0" fontId="20" fillId="0" borderId="56" xfId="0" applyFont="1" applyBorder="1" applyAlignment="1" applyProtection="1">
      <alignment horizontal="center"/>
      <protection locked="0"/>
    </xf>
    <xf numFmtId="0" fontId="20" fillId="0" borderId="57" xfId="0" applyFont="1" applyBorder="1" applyAlignment="1" applyProtection="1">
      <alignment horizontal="center"/>
      <protection locked="0"/>
    </xf>
    <xf numFmtId="0" fontId="19" fillId="12" borderId="54" xfId="0" applyFont="1" applyFill="1" applyBorder="1"/>
    <xf numFmtId="0" fontId="19" fillId="12" borderId="55" xfId="0" applyFont="1" applyFill="1" applyBorder="1" applyAlignment="1">
      <alignment horizontal="center"/>
    </xf>
    <xf numFmtId="0" fontId="19" fillId="12" borderId="56" xfId="0" applyFont="1" applyFill="1" applyBorder="1" applyAlignment="1">
      <alignment horizontal="center"/>
    </xf>
    <xf numFmtId="0" fontId="19" fillId="12" borderId="5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9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12A832-0334-4A65-AF8D-02CFFCD387DA}" name="Table1" displayName="Table1" ref="B3:F11" totalsRowShown="0" headerRowDxfId="193" dataDxfId="192">
  <autoFilter ref="B3:F11" xr:uid="{AD12A832-0334-4A65-AF8D-02CFFCD387DA}"/>
  <tableColumns count="5">
    <tableColumn id="1" xr3:uid="{15AD446E-CD31-4B52-8F12-1147233306AA}" name="Name of stationery" dataDxfId="191"/>
    <tableColumn id="2" xr3:uid="{4762880E-DBEA-49F2-B3B2-479159AE883A}" name="Period of verification" dataDxfId="190"/>
    <tableColumn id="5" xr3:uid="{686B7062-6441-453D-B430-FBAB6540808D}" name="Availability" dataDxfId="189"/>
    <tableColumn id="4" xr3:uid="{1496BD5C-C4C9-4B6E-8720-FBEB56298E57}" name="Stationery version (year)" dataDxfId="188"/>
    <tableColumn id="3" xr3:uid="{BA7F28BB-9BC2-430C-BA48-297233724216}" name="Comments" dataDxfId="18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5A1F-7A5A-4F73-9D20-283795E853C6}">
  <sheetPr>
    <tabColor theme="0" tint="-0.499984740745262"/>
  </sheetPr>
  <dimension ref="B2:Q31"/>
  <sheetViews>
    <sheetView showGridLines="0" topLeftCell="A9" zoomScale="120" zoomScaleNormal="120" workbookViewId="0">
      <selection activeCell="B2" sqref="B2"/>
    </sheetView>
  </sheetViews>
  <sheetFormatPr defaultColWidth="8.88671875" defaultRowHeight="13.8" x14ac:dyDescent="0.25"/>
  <cols>
    <col min="1" max="1" width="8.88671875" style="4"/>
    <col min="2" max="3" width="10.6640625" style="4" customWidth="1"/>
    <col min="4" max="12" width="8.88671875" style="4"/>
    <col min="13" max="16" width="12.88671875" style="4" customWidth="1"/>
    <col min="17" max="16384" width="8.88671875" style="4"/>
  </cols>
  <sheetData>
    <row r="2" spans="2:17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ht="22.8" x14ac:dyDescent="0.4">
      <c r="B3" s="5"/>
      <c r="C3" s="6"/>
      <c r="D3" s="6"/>
      <c r="E3" s="6"/>
      <c r="F3" s="6"/>
      <c r="G3" s="7" t="s">
        <v>0</v>
      </c>
      <c r="H3" s="6"/>
      <c r="I3" s="6"/>
      <c r="J3" s="6"/>
      <c r="K3" s="6"/>
      <c r="L3" s="6"/>
      <c r="M3" s="6"/>
      <c r="N3" s="6"/>
      <c r="O3" s="6"/>
      <c r="P3" s="6"/>
      <c r="Q3" s="8"/>
    </row>
    <row r="4" spans="2:17" x14ac:dyDescent="0.25">
      <c r="B4" s="9"/>
      <c r="Q4" s="10"/>
    </row>
    <row r="5" spans="2:17" x14ac:dyDescent="0.25">
      <c r="B5" s="11">
        <v>1</v>
      </c>
      <c r="C5" s="4" t="s">
        <v>1</v>
      </c>
      <c r="M5" s="12"/>
      <c r="N5" s="12"/>
      <c r="O5" s="12"/>
      <c r="P5" s="12"/>
      <c r="Q5" s="10"/>
    </row>
    <row r="6" spans="2:17" x14ac:dyDescent="0.25">
      <c r="B6" s="11">
        <v>2</v>
      </c>
      <c r="C6" s="4" t="s">
        <v>2</v>
      </c>
      <c r="M6" s="12"/>
      <c r="N6" s="12"/>
      <c r="O6" s="12"/>
      <c r="P6" s="12"/>
      <c r="Q6" s="10"/>
    </row>
    <row r="7" spans="2:17" x14ac:dyDescent="0.25">
      <c r="B7" s="11">
        <v>3</v>
      </c>
      <c r="C7" s="4" t="s">
        <v>3</v>
      </c>
      <c r="M7" s="12"/>
      <c r="N7" s="12"/>
      <c r="O7" s="12"/>
      <c r="P7" s="12"/>
      <c r="Q7" s="10"/>
    </row>
    <row r="8" spans="2:17" x14ac:dyDescent="0.25">
      <c r="B8" s="11">
        <v>4</v>
      </c>
      <c r="C8" s="4" t="s">
        <v>4</v>
      </c>
      <c r="M8" s="12"/>
      <c r="N8" s="12"/>
      <c r="O8" s="12"/>
      <c r="P8" s="12"/>
      <c r="Q8" s="10"/>
    </row>
    <row r="9" spans="2:17" x14ac:dyDescent="0.25">
      <c r="B9" s="11">
        <v>5</v>
      </c>
      <c r="C9" s="4" t="s">
        <v>5</v>
      </c>
      <c r="M9" s="12"/>
      <c r="N9" s="12"/>
      <c r="O9" s="12"/>
      <c r="P9" s="12"/>
      <c r="Q9" s="10"/>
    </row>
    <row r="10" spans="2:17" x14ac:dyDescent="0.25">
      <c r="B10" s="11">
        <v>6</v>
      </c>
      <c r="C10" s="4" t="s">
        <v>6</v>
      </c>
      <c r="M10" s="12"/>
      <c r="N10" s="12"/>
      <c r="O10" s="12"/>
      <c r="P10" s="12"/>
      <c r="Q10" s="10"/>
    </row>
    <row r="11" spans="2:17" x14ac:dyDescent="0.25">
      <c r="B11" s="11">
        <v>7</v>
      </c>
      <c r="C11" s="4" t="s">
        <v>7</v>
      </c>
      <c r="Q11" s="10"/>
    </row>
    <row r="12" spans="2:17" x14ac:dyDescent="0.25">
      <c r="B12" s="11">
        <v>8</v>
      </c>
      <c r="C12" s="4" t="s">
        <v>8</v>
      </c>
      <c r="Q12" s="10"/>
    </row>
    <row r="13" spans="2:17" x14ac:dyDescent="0.25">
      <c r="B13" s="11">
        <v>9</v>
      </c>
      <c r="C13" s="4" t="s">
        <v>9</v>
      </c>
      <c r="Q13" s="10"/>
    </row>
    <row r="14" spans="2:17" ht="14.4" thickBot="1" x14ac:dyDescent="0.3">
      <c r="B14" s="11"/>
      <c r="Q14" s="10"/>
    </row>
    <row r="15" spans="2:17" x14ac:dyDescent="0.25">
      <c r="B15" s="11"/>
      <c r="C15" s="13" t="s">
        <v>10</v>
      </c>
      <c r="D15" s="14"/>
      <c r="E15" s="14"/>
      <c r="F15" s="14"/>
      <c r="G15" s="14"/>
      <c r="H15" s="14"/>
      <c r="I15" s="14"/>
      <c r="J15" s="15"/>
      <c r="K15" s="15"/>
      <c r="L15" s="15"/>
      <c r="M15" s="15"/>
      <c r="N15" s="15"/>
      <c r="O15" s="15"/>
      <c r="P15" s="16"/>
      <c r="Q15" s="10"/>
    </row>
    <row r="16" spans="2:17" x14ac:dyDescent="0.25">
      <c r="B16" s="11"/>
      <c r="C16" s="17" t="s">
        <v>11</v>
      </c>
      <c r="D16" s="12"/>
      <c r="E16" s="12"/>
      <c r="F16" s="12"/>
      <c r="G16" s="12"/>
      <c r="H16" s="12"/>
      <c r="I16" s="12"/>
      <c r="P16" s="18"/>
      <c r="Q16" s="10"/>
    </row>
    <row r="17" spans="2:17" x14ac:dyDescent="0.25">
      <c r="B17" s="11"/>
      <c r="C17" s="17"/>
      <c r="D17" s="12"/>
      <c r="E17" s="12"/>
      <c r="F17" s="12"/>
      <c r="G17" s="12"/>
      <c r="H17" s="12"/>
      <c r="I17" s="12"/>
      <c r="P17" s="18"/>
      <c r="Q17" s="10"/>
    </row>
    <row r="18" spans="2:17" x14ac:dyDescent="0.25">
      <c r="B18" s="11"/>
      <c r="C18" s="17" t="s">
        <v>12</v>
      </c>
      <c r="D18" s="12"/>
      <c r="E18" s="12"/>
      <c r="F18" s="12"/>
      <c r="G18" s="12"/>
      <c r="H18" s="12"/>
      <c r="I18" s="12"/>
      <c r="P18" s="18"/>
      <c r="Q18" s="10"/>
    </row>
    <row r="19" spans="2:17" x14ac:dyDescent="0.25">
      <c r="B19" s="11"/>
      <c r="C19" s="17"/>
      <c r="D19" s="12"/>
      <c r="E19" s="12"/>
      <c r="F19" s="12"/>
      <c r="G19" s="12"/>
      <c r="H19" s="12"/>
      <c r="I19" s="12"/>
      <c r="P19" s="18"/>
      <c r="Q19" s="10"/>
    </row>
    <row r="20" spans="2:17" x14ac:dyDescent="0.25">
      <c r="B20" s="11"/>
      <c r="C20" s="17" t="s">
        <v>13</v>
      </c>
      <c r="D20" s="12"/>
      <c r="E20" s="12"/>
      <c r="F20" s="12"/>
      <c r="G20" s="12"/>
      <c r="H20" s="12"/>
      <c r="I20" s="12"/>
      <c r="P20" s="18"/>
      <c r="Q20" s="10"/>
    </row>
    <row r="21" spans="2:17" x14ac:dyDescent="0.25">
      <c r="B21" s="11"/>
      <c r="C21" s="17"/>
      <c r="D21" s="12"/>
      <c r="E21" s="12"/>
      <c r="F21" s="12"/>
      <c r="G21" s="12"/>
      <c r="H21" s="12"/>
      <c r="I21" s="12"/>
      <c r="P21" s="18"/>
      <c r="Q21" s="10"/>
    </row>
    <row r="22" spans="2:17" x14ac:dyDescent="0.25">
      <c r="B22" s="11"/>
      <c r="C22" s="17" t="s">
        <v>14</v>
      </c>
      <c r="D22" s="12"/>
      <c r="E22" s="12"/>
      <c r="F22" s="12"/>
      <c r="G22" s="12"/>
      <c r="H22" s="12"/>
      <c r="I22" s="12"/>
      <c r="P22" s="18"/>
      <c r="Q22" s="10"/>
    </row>
    <row r="23" spans="2:17" x14ac:dyDescent="0.25">
      <c r="B23" s="11"/>
      <c r="C23" s="17"/>
      <c r="D23" s="12"/>
      <c r="E23" s="12"/>
      <c r="F23" s="12"/>
      <c r="G23" s="12"/>
      <c r="H23" s="12"/>
      <c r="I23" s="12"/>
      <c r="P23" s="18"/>
      <c r="Q23" s="10"/>
    </row>
    <row r="24" spans="2:17" x14ac:dyDescent="0.25">
      <c r="B24" s="11"/>
      <c r="C24" s="17" t="s">
        <v>15</v>
      </c>
      <c r="D24" s="12"/>
      <c r="E24" s="12"/>
      <c r="F24" s="12"/>
      <c r="G24" s="12"/>
      <c r="H24" s="12"/>
      <c r="I24" s="12"/>
      <c r="P24" s="18"/>
      <c r="Q24" s="10"/>
    </row>
    <row r="25" spans="2:17" ht="14.4" thickBot="1" x14ac:dyDescent="0.3">
      <c r="B25" s="11"/>
      <c r="C25" s="19" t="s">
        <v>16</v>
      </c>
      <c r="D25" s="20"/>
      <c r="E25" s="20"/>
      <c r="F25" s="20"/>
      <c r="G25" s="20"/>
      <c r="H25" s="20"/>
      <c r="I25" s="20"/>
      <c r="J25" s="21"/>
      <c r="K25" s="21"/>
      <c r="L25" s="21"/>
      <c r="M25" s="21"/>
      <c r="N25" s="21"/>
      <c r="O25" s="21"/>
      <c r="P25" s="22"/>
      <c r="Q25" s="10"/>
    </row>
    <row r="26" spans="2:17" x14ac:dyDescent="0.25">
      <c r="B26" s="11"/>
      <c r="Q26" s="10"/>
    </row>
    <row r="27" spans="2:17" x14ac:dyDescent="0.25">
      <c r="B27" s="9"/>
      <c r="C27" s="23" t="s">
        <v>17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Q27" s="10"/>
    </row>
    <row r="28" spans="2:17" x14ac:dyDescent="0.25">
      <c r="B28" s="11">
        <v>1</v>
      </c>
      <c r="C28" s="4" t="s">
        <v>18</v>
      </c>
      <c r="Q28" s="10"/>
    </row>
    <row r="29" spans="2:17" x14ac:dyDescent="0.25">
      <c r="B29" s="11">
        <v>2</v>
      </c>
      <c r="C29" s="4" t="s">
        <v>19</v>
      </c>
      <c r="Q29" s="10"/>
    </row>
    <row r="30" spans="2:17" x14ac:dyDescent="0.25">
      <c r="B30" s="11"/>
      <c r="Q30" s="10"/>
    </row>
    <row r="31" spans="2:17" x14ac:dyDescent="0.25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700D-7CD5-4442-BD01-773DAB95C6FA}">
  <sheetPr>
    <tabColor theme="0" tint="-0.34998626667073579"/>
  </sheetPr>
  <dimension ref="A1:E34"/>
  <sheetViews>
    <sheetView topLeftCell="A9" workbookViewId="0">
      <selection activeCell="D9" sqref="D9"/>
    </sheetView>
  </sheetViews>
  <sheetFormatPr defaultRowHeight="14.4" x14ac:dyDescent="0.3"/>
  <cols>
    <col min="2" max="2" width="11.88671875" customWidth="1"/>
    <col min="3" max="3" width="9.5546875" bestFit="1" customWidth="1"/>
    <col min="4" max="4" width="75.5546875" customWidth="1"/>
    <col min="5" max="5" width="72.6640625" customWidth="1"/>
  </cols>
  <sheetData>
    <row r="1" spans="1:5" ht="15.6" x14ac:dyDescent="0.3">
      <c r="A1" s="185"/>
      <c r="B1" s="186" t="s">
        <v>20</v>
      </c>
      <c r="C1" s="186" t="s">
        <v>21</v>
      </c>
      <c r="D1" s="186" t="s">
        <v>22</v>
      </c>
      <c r="E1" s="187" t="s">
        <v>23</v>
      </c>
    </row>
    <row r="2" spans="1:5" ht="22.95" customHeight="1" x14ac:dyDescent="0.3">
      <c r="A2" s="199" t="s">
        <v>24</v>
      </c>
      <c r="B2" s="185" t="s">
        <v>25</v>
      </c>
      <c r="C2" s="185" t="s">
        <v>26</v>
      </c>
      <c r="D2" s="185" t="s">
        <v>27</v>
      </c>
      <c r="E2" s="188" t="s">
        <v>28</v>
      </c>
    </row>
    <row r="3" spans="1:5" ht="15.6" x14ac:dyDescent="0.3">
      <c r="A3" s="199"/>
      <c r="B3" s="185" t="s">
        <v>25</v>
      </c>
      <c r="C3" s="185" t="s">
        <v>29</v>
      </c>
      <c r="D3" s="185" t="s">
        <v>30</v>
      </c>
      <c r="E3" s="188" t="s">
        <v>31</v>
      </c>
    </row>
    <row r="4" spans="1:5" ht="15.6" x14ac:dyDescent="0.3">
      <c r="A4" s="199"/>
      <c r="B4" s="185" t="s">
        <v>25</v>
      </c>
      <c r="C4" s="185" t="s">
        <v>32</v>
      </c>
      <c r="D4" s="185" t="s">
        <v>33</v>
      </c>
      <c r="E4" s="188" t="s">
        <v>34</v>
      </c>
    </row>
    <row r="5" spans="1:5" ht="21" customHeight="1" x14ac:dyDescent="0.3">
      <c r="A5" s="199"/>
      <c r="B5" s="185" t="s">
        <v>25</v>
      </c>
      <c r="C5" s="185" t="s">
        <v>35</v>
      </c>
      <c r="D5" s="185" t="s">
        <v>36</v>
      </c>
      <c r="E5" s="188" t="s">
        <v>37</v>
      </c>
    </row>
    <row r="6" spans="1:5" ht="21.6" customHeight="1" x14ac:dyDescent="0.3">
      <c r="A6" s="199"/>
      <c r="B6" s="185" t="s">
        <v>38</v>
      </c>
      <c r="C6" s="185" t="s">
        <v>39</v>
      </c>
      <c r="D6" s="185" t="s">
        <v>40</v>
      </c>
      <c r="E6" s="188" t="s">
        <v>41</v>
      </c>
    </row>
    <row r="7" spans="1:5" ht="31.2" x14ac:dyDescent="0.3">
      <c r="A7" s="199"/>
      <c r="B7" s="185" t="s">
        <v>38</v>
      </c>
      <c r="C7" s="185" t="s">
        <v>42</v>
      </c>
      <c r="D7" s="185" t="s">
        <v>43</v>
      </c>
      <c r="E7" s="188" t="s">
        <v>41</v>
      </c>
    </row>
    <row r="8" spans="1:5" ht="25.2" customHeight="1" x14ac:dyDescent="0.3">
      <c r="A8" s="199"/>
      <c r="B8" s="185" t="s">
        <v>38</v>
      </c>
      <c r="C8" s="185" t="s">
        <v>44</v>
      </c>
      <c r="D8" s="185" t="s">
        <v>45</v>
      </c>
      <c r="E8" s="188" t="s">
        <v>41</v>
      </c>
    </row>
    <row r="9" spans="1:5" ht="15.6" x14ac:dyDescent="0.3">
      <c r="A9" s="199"/>
      <c r="B9" s="185" t="s">
        <v>38</v>
      </c>
      <c r="C9" s="185" t="s">
        <v>46</v>
      </c>
      <c r="D9" s="185" t="s">
        <v>47</v>
      </c>
      <c r="E9" s="188" t="s">
        <v>41</v>
      </c>
    </row>
    <row r="10" spans="1:5" ht="15.6" x14ac:dyDescent="0.3">
      <c r="A10" s="199"/>
      <c r="B10" s="185" t="s">
        <v>38</v>
      </c>
      <c r="C10" s="185" t="s">
        <v>48</v>
      </c>
      <c r="D10" s="185" t="s">
        <v>49</v>
      </c>
      <c r="E10" s="188" t="s">
        <v>41</v>
      </c>
    </row>
    <row r="11" spans="1:5" ht="31.2" x14ac:dyDescent="0.3">
      <c r="A11" s="199"/>
      <c r="B11" s="185" t="s">
        <v>38</v>
      </c>
      <c r="C11" s="185" t="s">
        <v>50</v>
      </c>
      <c r="D11" s="185" t="s">
        <v>51</v>
      </c>
      <c r="E11" s="188" t="s">
        <v>41</v>
      </c>
    </row>
    <row r="12" spans="1:5" ht="15.6" x14ac:dyDescent="0.3">
      <c r="A12" s="199" t="s">
        <v>52</v>
      </c>
      <c r="B12" s="185" t="s">
        <v>25</v>
      </c>
      <c r="C12" s="185" t="s">
        <v>53</v>
      </c>
      <c r="D12" s="185" t="s">
        <v>54</v>
      </c>
      <c r="E12" s="188" t="s">
        <v>55</v>
      </c>
    </row>
    <row r="13" spans="1:5" ht="15.6" x14ac:dyDescent="0.3">
      <c r="A13" s="199"/>
      <c r="B13" s="185" t="s">
        <v>25</v>
      </c>
      <c r="C13" s="185" t="s">
        <v>56</v>
      </c>
      <c r="D13" s="185" t="s">
        <v>57</v>
      </c>
      <c r="E13" s="188" t="s">
        <v>58</v>
      </c>
    </row>
    <row r="14" spans="1:5" ht="15.6" x14ac:dyDescent="0.3">
      <c r="A14" s="199"/>
      <c r="B14" s="185" t="s">
        <v>25</v>
      </c>
      <c r="C14" s="185" t="s">
        <v>59</v>
      </c>
      <c r="D14" s="185" t="s">
        <v>60</v>
      </c>
      <c r="E14" s="188" t="s">
        <v>61</v>
      </c>
    </row>
    <row r="15" spans="1:5" ht="31.2" x14ac:dyDescent="0.3">
      <c r="A15" s="199"/>
      <c r="B15" s="185" t="s">
        <v>38</v>
      </c>
      <c r="C15" s="185" t="s">
        <v>62</v>
      </c>
      <c r="D15" s="185" t="s">
        <v>63</v>
      </c>
      <c r="E15" s="188" t="s">
        <v>58</v>
      </c>
    </row>
    <row r="16" spans="1:5" ht="31.2" x14ac:dyDescent="0.3">
      <c r="A16" s="199"/>
      <c r="B16" s="185" t="s">
        <v>38</v>
      </c>
      <c r="C16" s="185" t="s">
        <v>64</v>
      </c>
      <c r="D16" s="185" t="s">
        <v>65</v>
      </c>
      <c r="E16" s="188" t="s">
        <v>66</v>
      </c>
    </row>
    <row r="17" spans="1:5" ht="31.2" x14ac:dyDescent="0.3">
      <c r="A17" s="199"/>
      <c r="B17" s="185" t="s">
        <v>38</v>
      </c>
      <c r="C17" s="185" t="s">
        <v>67</v>
      </c>
      <c r="D17" s="185" t="s">
        <v>68</v>
      </c>
      <c r="E17" s="188" t="s">
        <v>69</v>
      </c>
    </row>
    <row r="18" spans="1:5" ht="31.2" x14ac:dyDescent="0.3">
      <c r="A18" s="199"/>
      <c r="B18" s="185" t="s">
        <v>38</v>
      </c>
      <c r="C18" s="185" t="s">
        <v>70</v>
      </c>
      <c r="D18" s="185" t="s">
        <v>71</v>
      </c>
      <c r="E18" s="188" t="s">
        <v>69</v>
      </c>
    </row>
    <row r="19" spans="1:5" ht="31.2" x14ac:dyDescent="0.3">
      <c r="A19" s="199"/>
      <c r="B19" s="185" t="s">
        <v>38</v>
      </c>
      <c r="C19" s="185" t="s">
        <v>72</v>
      </c>
      <c r="D19" s="185" t="s">
        <v>73</v>
      </c>
      <c r="E19" s="188" t="s">
        <v>69</v>
      </c>
    </row>
    <row r="20" spans="1:5" ht="31.2" x14ac:dyDescent="0.3">
      <c r="A20" s="199"/>
      <c r="B20" s="185" t="s">
        <v>38</v>
      </c>
      <c r="C20" s="185" t="s">
        <v>74</v>
      </c>
      <c r="D20" s="185" t="s">
        <v>75</v>
      </c>
      <c r="E20" s="188" t="s">
        <v>69</v>
      </c>
    </row>
    <row r="21" spans="1:5" ht="15.6" x14ac:dyDescent="0.3">
      <c r="A21" s="199" t="s">
        <v>76</v>
      </c>
      <c r="B21" s="185" t="s">
        <v>38</v>
      </c>
      <c r="C21" s="185" t="s">
        <v>77</v>
      </c>
      <c r="D21" s="185" t="s">
        <v>78</v>
      </c>
      <c r="E21" s="188" t="s">
        <v>79</v>
      </c>
    </row>
    <row r="22" spans="1:5" ht="15.6" x14ac:dyDescent="0.3">
      <c r="A22" s="199"/>
      <c r="B22" s="185" t="s">
        <v>38</v>
      </c>
      <c r="C22" s="185" t="s">
        <v>80</v>
      </c>
      <c r="D22" s="185" t="s">
        <v>81</v>
      </c>
      <c r="E22" s="188" t="s">
        <v>82</v>
      </c>
    </row>
    <row r="23" spans="1:5" ht="15.6" x14ac:dyDescent="0.3">
      <c r="A23" s="199"/>
      <c r="B23" s="185" t="s">
        <v>38</v>
      </c>
      <c r="C23" s="185" t="s">
        <v>83</v>
      </c>
      <c r="D23" s="185" t="s">
        <v>84</v>
      </c>
      <c r="E23" s="188" t="s">
        <v>85</v>
      </c>
    </row>
    <row r="24" spans="1:5" ht="15.6" x14ac:dyDescent="0.3">
      <c r="A24" s="199"/>
      <c r="B24" s="185" t="s">
        <v>38</v>
      </c>
      <c r="C24" s="185" t="s">
        <v>86</v>
      </c>
      <c r="D24" s="185" t="s">
        <v>87</v>
      </c>
      <c r="E24" s="188" t="s">
        <v>88</v>
      </c>
    </row>
    <row r="25" spans="1:5" ht="15.6" x14ac:dyDescent="0.3">
      <c r="A25" s="199"/>
      <c r="B25" s="185" t="s">
        <v>38</v>
      </c>
      <c r="C25" s="185" t="s">
        <v>89</v>
      </c>
      <c r="D25" s="185" t="s">
        <v>90</v>
      </c>
      <c r="E25" s="188" t="s">
        <v>91</v>
      </c>
    </row>
    <row r="26" spans="1:5" ht="15.6" x14ac:dyDescent="0.3">
      <c r="A26" s="199"/>
      <c r="B26" s="185" t="s">
        <v>38</v>
      </c>
      <c r="C26" s="185" t="s">
        <v>92</v>
      </c>
      <c r="D26" s="185" t="s">
        <v>93</v>
      </c>
      <c r="E26" s="188" t="s">
        <v>94</v>
      </c>
    </row>
    <row r="27" spans="1:5" ht="15.6" x14ac:dyDescent="0.3">
      <c r="A27" s="199"/>
      <c r="B27" s="185" t="s">
        <v>38</v>
      </c>
      <c r="C27" s="185" t="s">
        <v>95</v>
      </c>
      <c r="D27" s="185" t="s">
        <v>96</v>
      </c>
      <c r="E27" s="188" t="s">
        <v>97</v>
      </c>
    </row>
    <row r="28" spans="1:5" ht="15.6" x14ac:dyDescent="0.3">
      <c r="A28" s="199"/>
      <c r="B28" s="185" t="s">
        <v>38</v>
      </c>
      <c r="C28" s="185" t="s">
        <v>98</v>
      </c>
      <c r="D28" s="185" t="s">
        <v>99</v>
      </c>
      <c r="E28" s="188" t="s">
        <v>100</v>
      </c>
    </row>
    <row r="29" spans="1:5" ht="15.6" x14ac:dyDescent="0.3">
      <c r="A29" s="199"/>
      <c r="B29" s="185" t="s">
        <v>25</v>
      </c>
      <c r="C29" s="185" t="s">
        <v>101</v>
      </c>
      <c r="D29" s="185" t="s">
        <v>102</v>
      </c>
      <c r="E29" s="188" t="s">
        <v>103</v>
      </c>
    </row>
    <row r="30" spans="1:5" ht="15.6" x14ac:dyDescent="0.3">
      <c r="A30" s="199"/>
      <c r="B30" s="185" t="s">
        <v>25</v>
      </c>
      <c r="C30" s="185" t="s">
        <v>104</v>
      </c>
      <c r="D30" s="185" t="s">
        <v>105</v>
      </c>
      <c r="E30" s="188" t="s">
        <v>106</v>
      </c>
    </row>
    <row r="31" spans="1:5" ht="15.6" x14ac:dyDescent="0.3">
      <c r="A31" s="199"/>
      <c r="B31" s="185" t="s">
        <v>25</v>
      </c>
      <c r="C31" s="185" t="s">
        <v>107</v>
      </c>
      <c r="D31" s="185" t="s">
        <v>108</v>
      </c>
      <c r="E31" s="188" t="s">
        <v>106</v>
      </c>
    </row>
    <row r="32" spans="1:5" ht="15.6" x14ac:dyDescent="0.3">
      <c r="A32" s="199"/>
      <c r="B32" s="185" t="s">
        <v>38</v>
      </c>
      <c r="C32" s="185" t="s">
        <v>109</v>
      </c>
      <c r="D32" s="185" t="s">
        <v>110</v>
      </c>
      <c r="E32" s="188" t="s">
        <v>111</v>
      </c>
    </row>
    <row r="33" spans="1:5" ht="15.6" x14ac:dyDescent="0.3">
      <c r="A33" s="199"/>
      <c r="B33" s="185" t="s">
        <v>25</v>
      </c>
      <c r="C33" s="185" t="s">
        <v>112</v>
      </c>
      <c r="D33" s="185" t="s">
        <v>113</v>
      </c>
      <c r="E33" s="188" t="s">
        <v>114</v>
      </c>
    </row>
    <row r="34" spans="1:5" ht="16.2" thickBot="1" x14ac:dyDescent="0.35">
      <c r="A34" s="200"/>
      <c r="B34" s="189" t="s">
        <v>25</v>
      </c>
      <c r="C34" s="189" t="s">
        <v>112</v>
      </c>
      <c r="D34" s="189" t="s">
        <v>115</v>
      </c>
      <c r="E34" s="190" t="s">
        <v>116</v>
      </c>
    </row>
  </sheetData>
  <mergeCells count="3">
    <mergeCell ref="A2:A11"/>
    <mergeCell ref="A12:A20"/>
    <mergeCell ref="A21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F0B0-46D9-417B-8108-3716B0D308D4}">
  <sheetPr>
    <tabColor rgb="FFFF0000"/>
  </sheetPr>
  <dimension ref="A1:J55"/>
  <sheetViews>
    <sheetView showGridLines="0" topLeftCell="C18" zoomScaleNormal="100" workbookViewId="0">
      <selection activeCell="F24" sqref="F24"/>
    </sheetView>
  </sheetViews>
  <sheetFormatPr defaultRowHeight="14.4" x14ac:dyDescent="0.3"/>
  <cols>
    <col min="1" max="2" width="12.88671875" customWidth="1"/>
    <col min="3" max="3" width="45.6640625" customWidth="1"/>
    <col min="6" max="6" width="35.6640625" bestFit="1" customWidth="1"/>
    <col min="9" max="9" width="33.6640625" bestFit="1" customWidth="1"/>
    <col min="10" max="10" width="44.33203125" bestFit="1" customWidth="1"/>
  </cols>
  <sheetData>
    <row r="1" spans="1:10" x14ac:dyDescent="0.3">
      <c r="A1" s="201" t="str">
        <f>'Power  Query'!K2</f>
        <v>Data type</v>
      </c>
      <c r="B1" s="170"/>
      <c r="C1" s="201" t="str">
        <f>'Power  Query'!M2</f>
        <v>Element</v>
      </c>
      <c r="D1" s="201" t="str">
        <f>'Power  Query'!P2</f>
        <v>TIER.Net</v>
      </c>
      <c r="E1" s="201"/>
      <c r="F1" s="201"/>
      <c r="G1" s="201" t="str">
        <f>'Power  Query'!Q2</f>
        <v>DHIS</v>
      </c>
      <c r="H1" s="201"/>
      <c r="I1" s="202"/>
      <c r="J1" s="183"/>
    </row>
    <row r="2" spans="1:10" x14ac:dyDescent="0.3">
      <c r="A2" s="201"/>
      <c r="B2" s="170" t="s">
        <v>117</v>
      </c>
      <c r="C2" s="201"/>
      <c r="D2" s="171" t="s">
        <v>118</v>
      </c>
      <c r="E2" s="171" t="s">
        <v>119</v>
      </c>
      <c r="F2" s="171" t="s">
        <v>120</v>
      </c>
      <c r="G2" s="171" t="s">
        <v>118</v>
      </c>
      <c r="H2" s="171" t="s">
        <v>119</v>
      </c>
      <c r="I2" s="171" t="s">
        <v>120</v>
      </c>
      <c r="J2" s="184" t="s">
        <v>121</v>
      </c>
    </row>
    <row r="3" spans="1:10" ht="27.6" customHeight="1" x14ac:dyDescent="0.45">
      <c r="A3" s="203" t="str">
        <f>IF(Training!D4="","Enter inservice training otherwise DQA will be rejected","Training information recorded, well done!")</f>
        <v>Enter inservice training otherwise DQA will be rejected</v>
      </c>
      <c r="B3" s="204"/>
      <c r="C3" s="204"/>
      <c r="D3" s="204"/>
      <c r="E3" s="204"/>
      <c r="F3" s="204"/>
      <c r="G3" s="204"/>
      <c r="H3" s="204"/>
      <c r="I3" s="204"/>
      <c r="J3" s="204"/>
    </row>
    <row r="4" spans="1:10" x14ac:dyDescent="0.3">
      <c r="A4" s="172" t="str">
        <f>'Power  Query'!K3</f>
        <v>TB cascade</v>
      </c>
      <c r="B4" s="175" t="str">
        <f>'Power  Query'!L3</f>
        <v>Under 5yrs</v>
      </c>
      <c r="C4" s="175" t="str">
        <f>'Power  Query'!M3</f>
        <v>Headcount</v>
      </c>
      <c r="D4" s="182">
        <f>'Power  Query'!O3</f>
        <v>0</v>
      </c>
      <c r="E4" s="182">
        <f>'Power  Query'!O64</f>
        <v>0</v>
      </c>
      <c r="F4" s="182"/>
      <c r="G4" s="178">
        <f>'Power  Query'!Q3</f>
        <v>0</v>
      </c>
      <c r="H4" s="172">
        <f>'Power  Query'!Q64</f>
        <v>0</v>
      </c>
      <c r="I4" s="175" t="str" cm="1">
        <f t="array" ref="I4">IFERROR(_xlfn.IFS((H4-G4)/H4&gt;0.05,"confirm if data is correct",(G4-H4)/G4&gt;0.05,"confirm if data is correct"),"")</f>
        <v/>
      </c>
      <c r="J4" s="181" t="str">
        <f>IFERROR(IF(E4&lt;&gt;H4,"Summary sheet does not match DHIS, please investigate",""),"")</f>
        <v/>
      </c>
    </row>
    <row r="5" spans="1:10" x14ac:dyDescent="0.3">
      <c r="A5" s="172" t="str">
        <f>'Power  Query'!K4</f>
        <v>TB cascade</v>
      </c>
      <c r="B5" s="175" t="str">
        <f>'Power  Query'!L4</f>
        <v>Under 5yrs</v>
      </c>
      <c r="C5" s="175" t="str">
        <f>'Power  Query'!M4</f>
        <v>TB screening</v>
      </c>
      <c r="D5" s="182">
        <f>'Power  Query'!O4</f>
        <v>330</v>
      </c>
      <c r="E5" s="182">
        <f>'Power  Query'!O65</f>
        <v>0</v>
      </c>
      <c r="F5" s="182"/>
      <c r="G5" s="178">
        <f>'Power  Query'!Q4</f>
        <v>0</v>
      </c>
      <c r="H5" s="172">
        <f>'Power  Query'!Q65</f>
        <v>0</v>
      </c>
      <c r="I5" s="175" t="str" cm="1">
        <f t="array" ref="I5">IFERROR(_xlfn.IFS((H5-G5)/H5&gt;0.05,"confirm if data is correct",(G5-H5)/G5&gt;0.05,"confirm if data is correct"),"")</f>
        <v/>
      </c>
      <c r="J5" s="181" t="str">
        <f>IFERROR(IF(E5&lt;&gt;H5,"Summary sheet does not match DHIS, please investigate",""),"")</f>
        <v/>
      </c>
    </row>
    <row r="6" spans="1:10" x14ac:dyDescent="0.3">
      <c r="A6" s="172" t="str">
        <f>'Power  Query'!K5</f>
        <v>TB cascade</v>
      </c>
      <c r="B6" s="175" t="str">
        <f>'Power  Query'!L5</f>
        <v>Under 5yrs</v>
      </c>
      <c r="C6" s="172" t="str">
        <f>'Power  Query'!M5</f>
        <v>Client eligible for TB  test</v>
      </c>
      <c r="D6" s="179">
        <f>'Power  Query'!P5</f>
        <v>0</v>
      </c>
      <c r="E6" s="179">
        <f>'Power  Query'!P66</f>
        <v>0</v>
      </c>
      <c r="F6" s="179" t="str" cm="1">
        <f t="array" ref="F6">IFERROR(_xlfn.IFS((E6-D6)/E6&gt;0.05,"confirm if data is correct",(D6-E6)/D6&gt;0.05,"confirm if data is correct"),"")</f>
        <v/>
      </c>
      <c r="G6" s="172">
        <f>'Power  Query'!Q5</f>
        <v>0</v>
      </c>
      <c r="H6" s="172">
        <f>'Power  Query'!Q66</f>
        <v>0</v>
      </c>
      <c r="I6" s="175" t="str" cm="1">
        <f t="array" ref="I6">IFERROR(_xlfn.IFS((H6-G6)/H6&gt;0.05,"confirm if data is correct",(G6-H6)/G6&gt;0.05,"confirm if data is correct"),"")</f>
        <v/>
      </c>
      <c r="J6" s="181" t="str">
        <f t="shared" ref="J6:J13" si="0">IFERROR(IF(E6&lt;&gt;H6,"TIER.Net does not match DHIS, please investigate",""),"")</f>
        <v/>
      </c>
    </row>
    <row r="7" spans="1:10" x14ac:dyDescent="0.3">
      <c r="A7" s="172" t="str">
        <f>'Power  Query'!K6</f>
        <v>TB cascade</v>
      </c>
      <c r="B7" s="175" t="str">
        <f>'Power  Query'!L6</f>
        <v>Under 5yrs</v>
      </c>
      <c r="C7" s="172" t="str">
        <f>'Power  Query'!M6</f>
        <v>TB test using GeneXpert</v>
      </c>
      <c r="D7" s="172">
        <f>'Power  Query'!P6</f>
        <v>0</v>
      </c>
      <c r="E7" s="172">
        <f>'Power  Query'!P67</f>
        <v>0</v>
      </c>
      <c r="F7" s="172" t="str" cm="1">
        <f t="array" ref="F7">IFERROR(_xlfn.IFS((E7-D7)/E7&gt;0.05,"confirm if data is correct",(D7-E7)/D7&gt;0.05,"confirm if data is correct"),"")</f>
        <v/>
      </c>
      <c r="G7" s="172">
        <f>'Power  Query'!Q6</f>
        <v>0</v>
      </c>
      <c r="H7" s="172">
        <f>'Power  Query'!Q67</f>
        <v>0</v>
      </c>
      <c r="I7" s="175" t="str" cm="1">
        <f t="array" ref="I7">IFERROR(_xlfn.IFS((H7-G7)/H7&gt;0.05,"confirm if data is correct",(G7-H7)/G7&gt;0.05,"confirm if data is correct"),"")</f>
        <v/>
      </c>
      <c r="J7" s="181" t="str">
        <f t="shared" si="0"/>
        <v/>
      </c>
    </row>
    <row r="8" spans="1:10" x14ac:dyDescent="0.3">
      <c r="A8" s="172" t="str">
        <f>'Power  Query'!K7</f>
        <v>TB cascade</v>
      </c>
      <c r="B8" s="175" t="str">
        <f>'Power  Query'!L7</f>
        <v>Under 5yrs</v>
      </c>
      <c r="C8" s="172" t="str">
        <f>'Power  Query'!M7</f>
        <v xml:space="preserve">DS-TB clinically diagnosed </v>
      </c>
      <c r="D8" s="172">
        <f>'Power  Query'!P7</f>
        <v>0</v>
      </c>
      <c r="E8" s="172">
        <f>'Power  Query'!P68</f>
        <v>0</v>
      </c>
      <c r="F8" s="172" t="str">
        <f>IFERROR(IF(E8&gt;E9,"high clinical diagnosis investigate","clear"),"")</f>
        <v>clear</v>
      </c>
      <c r="G8" s="172">
        <f>'Power  Query'!Q7</f>
        <v>0</v>
      </c>
      <c r="H8" s="172">
        <f>'Power  Query'!Q68</f>
        <v>0</v>
      </c>
      <c r="I8" s="175" t="str">
        <f>IFERROR(IF(H8&gt;H9,"high clinical diagnosis investigate","clear"),"")</f>
        <v>clear</v>
      </c>
      <c r="J8" s="181" t="str">
        <f t="shared" si="0"/>
        <v/>
      </c>
    </row>
    <row r="9" spans="1:10" x14ac:dyDescent="0.3">
      <c r="A9" s="172" t="str">
        <f>'Power  Query'!K8</f>
        <v>TB cascade</v>
      </c>
      <c r="B9" s="175" t="str">
        <f>'Power  Query'!L8</f>
        <v>Under 5yrs</v>
      </c>
      <c r="C9" s="172" t="str">
        <f>'Power  Query'!M8</f>
        <v xml:space="preserve">DS-TB Bacteriologically confirmed </v>
      </c>
      <c r="D9" s="172">
        <f>'Power  Query'!P8</f>
        <v>0</v>
      </c>
      <c r="E9" s="172">
        <f>'Power  Query'!P69</f>
        <v>0</v>
      </c>
      <c r="F9" s="172" t="str">
        <f>IFERROR(IF(E8&gt;E9,"high clinical diagnosis investigate","clear"),"")</f>
        <v>clear</v>
      </c>
      <c r="G9" s="172">
        <f>'Power  Query'!Q8</f>
        <v>0</v>
      </c>
      <c r="H9" s="172">
        <f>'Power  Query'!Q69</f>
        <v>0</v>
      </c>
      <c r="I9" s="175" t="str">
        <f>IFERROR(IF(H8&gt;H9,"high clinical diagnosis investigate","clear"),"")</f>
        <v>clear</v>
      </c>
      <c r="J9" s="181" t="str">
        <f t="shared" si="0"/>
        <v/>
      </c>
    </row>
    <row r="10" spans="1:10" x14ac:dyDescent="0.3">
      <c r="A10" s="172" t="str">
        <f>'Power  Query'!K9</f>
        <v>TB cascade</v>
      </c>
      <c r="B10" s="175" t="str">
        <f>'Power  Query'!L9</f>
        <v>Under 5yrs</v>
      </c>
      <c r="C10" s="172" t="str">
        <f>'Power  Query'!M9</f>
        <v>RR-TB bacteriologically confirmed</v>
      </c>
      <c r="D10" s="172">
        <f>'Power  Query'!P9</f>
        <v>0</v>
      </c>
      <c r="E10" s="172">
        <f>'Power  Query'!P70</f>
        <v>0</v>
      </c>
      <c r="F10" s="172" t="str" cm="1">
        <f t="array" ref="F10">IFERROR(_xlfn.IFS((E10-D10)/E10&gt;0.05,"confirm if data is correct",(D10-E10)/D10&gt;0.05,"confirm if data is correct"),"")</f>
        <v/>
      </c>
      <c r="G10" s="172">
        <f>'Power  Query'!Q9</f>
        <v>0</v>
      </c>
      <c r="H10" s="172">
        <f>'Power  Query'!Q70</f>
        <v>0</v>
      </c>
      <c r="I10" s="175" t="str" cm="1">
        <f t="array" ref="I10">IFERROR(_xlfn.IFS((H10-G10)/H10&gt;0.05,"confirm if data is correct",(G10-H10)/G10&gt;0.05,"confirm if data is correct"),"")</f>
        <v/>
      </c>
      <c r="J10" s="181" t="str">
        <f t="shared" si="0"/>
        <v/>
      </c>
    </row>
    <row r="11" spans="1:10" x14ac:dyDescent="0.3">
      <c r="A11" s="172" t="str">
        <f>'Power  Query'!K10</f>
        <v>TB cascade</v>
      </c>
      <c r="B11" s="175" t="str">
        <f>'Power  Query'!L10</f>
        <v>Under 5yrs</v>
      </c>
      <c r="C11" s="172" t="str">
        <f>'Power  Query'!M10</f>
        <v>DSTB treatment start</v>
      </c>
      <c r="D11" s="172">
        <f>'Power  Query'!P10</f>
        <v>1</v>
      </c>
      <c r="E11" s="172">
        <f>'Power  Query'!P71</f>
        <v>0</v>
      </c>
      <c r="F11" s="172" t="str" cm="1">
        <f t="array" ref="F11">IFERROR(_xlfn.IFS((E11-D11)/E11&gt;0.05,"confirm if data is correct",(D11-E11)/D11&gt;0.05,"confirm if data is correct"),"")</f>
        <v/>
      </c>
      <c r="G11" s="172">
        <f>'Power  Query'!Q10</f>
        <v>0</v>
      </c>
      <c r="H11" s="172">
        <f>'Power  Query'!Q71</f>
        <v>0</v>
      </c>
      <c r="I11" s="175" t="str" cm="1">
        <f t="array" ref="I11">IFERROR(_xlfn.IFS((H11-G11)/H11&gt;0.05,"confirm if data is correct",(G11-H11)/G11&gt;0.05,"confirm if data is correct"),"")</f>
        <v/>
      </c>
      <c r="J11" s="181" t="str">
        <f t="shared" si="0"/>
        <v/>
      </c>
    </row>
    <row r="12" spans="1:10" x14ac:dyDescent="0.3">
      <c r="A12" s="172" t="str">
        <f>'Power  Query'!K11</f>
        <v>TB cascade</v>
      </c>
      <c r="B12" s="175" t="str">
        <f>'Power  Query'!L11</f>
        <v>Under 5yrs</v>
      </c>
      <c r="C12" s="172" t="str">
        <f>'Power  Query'!M11</f>
        <v>Number initial lost to follow-up</v>
      </c>
      <c r="D12" s="172">
        <f>'Power  Query'!P11</f>
        <v>-1</v>
      </c>
      <c r="E12" s="172">
        <f>'Power  Query'!P72</f>
        <v>0</v>
      </c>
      <c r="F12" s="172" t="str" cm="1">
        <f t="array" ref="F12">IFERROR(_xlfn.IFS((E12-D12)/E12&gt;0.05,"confirm if data is correct",(D12-E12)/D12&gt;0.05,"confirm if data is correct"),"")</f>
        <v/>
      </c>
      <c r="G12" s="172">
        <f>'Power  Query'!Q11</f>
        <v>0</v>
      </c>
      <c r="H12" s="172">
        <f>'Power  Query'!Q72</f>
        <v>0</v>
      </c>
      <c r="I12" s="175" t="str" cm="1">
        <f t="array" ref="I12">IFERROR(_xlfn.IFS((H12-G12)/H12&gt;0.05,"confirm if data is correct",(G12-H12)/G12&gt;0.05,"confirm if data is correct"),"")</f>
        <v/>
      </c>
      <c r="J12" s="181" t="str">
        <f t="shared" si="0"/>
        <v/>
      </c>
    </row>
    <row r="13" spans="1:10" x14ac:dyDescent="0.3">
      <c r="A13" s="172" t="str">
        <f>'Power  Query'!K12</f>
        <v>TB cascade</v>
      </c>
      <c r="B13" s="175" t="str">
        <f>'Power  Query'!L12</f>
        <v>Under 5yrs</v>
      </c>
      <c r="C13" s="172" t="str">
        <f>'Power  Query'!M12</f>
        <v>NHLS ALERTS DS-TB</v>
      </c>
      <c r="D13" s="172">
        <f>'Power  Query'!P12</f>
        <v>0</v>
      </c>
      <c r="E13" s="172">
        <f>'Power  Query'!P73</f>
        <v>0</v>
      </c>
      <c r="F13" s="172" t="str" cm="1">
        <f t="array" ref="F13">IFERROR(_xlfn.IFS((E13-D13)/E13&gt;0.05,"confirm if data is correct",(D13-E13)/D13&gt;0.05,"confirm if data is correct"),"")</f>
        <v/>
      </c>
      <c r="G13" s="172">
        <f>'Power  Query'!Q12</f>
        <v>0</v>
      </c>
      <c r="H13" s="172">
        <f>'Power  Query'!Q73</f>
        <v>0</v>
      </c>
      <c r="I13" s="175" t="str" cm="1">
        <f t="array" ref="I13">IFERROR(_xlfn.IFS((H13-G13)/H13&gt;0.05,"confirm if data is correct",(G13-H13)/G13&gt;0.05,"confirm if data is correct"),"")</f>
        <v/>
      </c>
      <c r="J13" s="181" t="str">
        <f t="shared" si="0"/>
        <v/>
      </c>
    </row>
    <row r="14" spans="1:10" x14ac:dyDescent="0.3">
      <c r="A14" s="172" t="str">
        <f>'Power  Query'!K13</f>
        <v>TPT</v>
      </c>
      <c r="B14" s="175" t="str">
        <f>'Power  Query'!L13</f>
        <v>Under 5yrs</v>
      </c>
      <c r="C14" s="172" t="str">
        <f>'Power  Query'!M13</f>
        <v xml:space="preserve">TB contact </v>
      </c>
      <c r="D14" s="172">
        <f>'Power  Query'!N13</f>
        <v>0</v>
      </c>
      <c r="E14" s="172">
        <f>'Power  Query'!N74</f>
        <v>0</v>
      </c>
      <c r="F14" s="172" t="str" cm="1">
        <f t="array" ref="F14">IFERROR(_xlfn.IFS((E14-D14)/E14&gt;0.05,"confirm if data is correct",(D14-E14)/D14&gt;0.05,"confirm if data is correct"),"")</f>
        <v/>
      </c>
      <c r="G14" s="172">
        <f>'Power  Query'!Q13</f>
        <v>0</v>
      </c>
      <c r="H14" s="172">
        <f>'Power  Query'!Q74</f>
        <v>0</v>
      </c>
      <c r="I14" s="175" t="str" cm="1">
        <f t="array" ref="I14">IFERROR(_xlfn.IFS((H14-G14)/H14&gt;0.05,"confirm if data is correct",(G14-H14)/G14&gt;0.05,"confirm if data is correct"),"")</f>
        <v/>
      </c>
      <c r="J14" s="181" t="str">
        <f>IFERROR(IF(E14&lt;&gt;H14,"TB ID does not match DHIS, please investigate",""),"")</f>
        <v/>
      </c>
    </row>
    <row r="15" spans="1:10" x14ac:dyDescent="0.3">
      <c r="A15" s="172" t="str">
        <f>'Power  Query'!K14</f>
        <v>TPT</v>
      </c>
      <c r="B15" s="175" t="str">
        <f>'Power  Query'!L14</f>
        <v>Under 5yrs</v>
      </c>
      <c r="C15" s="172" t="str">
        <f>'Power  Query'!M14</f>
        <v>TB contact start on TPT</v>
      </c>
      <c r="D15" s="172">
        <f>'Power  Query'!N14</f>
        <v>0</v>
      </c>
      <c r="E15" s="172">
        <f>'Power  Query'!N75</f>
        <v>0</v>
      </c>
      <c r="F15" s="172" t="str" cm="1">
        <f t="array" ref="F15">IFERROR(_xlfn.IFS((E15-D15)/E15&gt;0.05,"confirm if data is correct",(D15-E15)/D15&gt;0.05,"confirm if data is correct"),"")</f>
        <v/>
      </c>
      <c r="G15" s="172">
        <f>'Power  Query'!Q14</f>
        <v>0</v>
      </c>
      <c r="H15" s="172">
        <f>'Power  Query'!Q75</f>
        <v>0</v>
      </c>
      <c r="I15" s="175" t="str" cm="1">
        <f t="array" ref="I15">IFERROR(_xlfn.IFS((H15-G15)/H15&gt;0.05,"confirm if data is correct",(G15-H15)/G15&gt;0.05,"confirm if data is correct"),"")</f>
        <v/>
      </c>
      <c r="J15" s="181" t="str">
        <f t="shared" ref="J15:J17" si="1">IFERROR(IF(E15&lt;&gt;H15,"TB ID does not match DHIS, please investigate",""),"")</f>
        <v/>
      </c>
    </row>
    <row r="16" spans="1:10" x14ac:dyDescent="0.3">
      <c r="A16" s="172" t="str">
        <f>'Power  Query'!K15</f>
        <v>TPT</v>
      </c>
      <c r="B16" s="175" t="str">
        <f>'Power  Query'!L15</f>
        <v>All ages</v>
      </c>
      <c r="C16" s="172" t="str">
        <f>'Power  Query'!M15</f>
        <v>PLWHIV on ART eligible for TPT</v>
      </c>
      <c r="D16" s="172">
        <f>'Power  Query'!N15</f>
        <v>0</v>
      </c>
      <c r="E16" s="172">
        <f>'Power  Query'!N76</f>
        <v>0</v>
      </c>
      <c r="F16" s="172" t="str" cm="1">
        <f t="array" ref="F16">IFERROR(_xlfn.IFS((E16-D16)/E16&gt;0.05,"confirm if data is correct",(D16-E16)/D16&gt;0.05,"confirm if data is correct"),"")</f>
        <v/>
      </c>
      <c r="G16" s="172">
        <f>'Power  Query'!Q15</f>
        <v>0</v>
      </c>
      <c r="H16" s="172">
        <f>'Power  Query'!Q76</f>
        <v>0</v>
      </c>
      <c r="I16" s="175" t="str" cm="1">
        <f t="array" ref="I16">IFERROR(_xlfn.IFS((H16-G16)/H16&gt;0.05,"confirm if data is correct",(G16-H16)/G16&gt;0.05,"confirm if data is correct"),"")</f>
        <v/>
      </c>
      <c r="J16" s="181" t="str">
        <f t="shared" si="1"/>
        <v/>
      </c>
    </row>
    <row r="17" spans="1:10" x14ac:dyDescent="0.3">
      <c r="A17" s="172" t="str">
        <f>'Power  Query'!K16</f>
        <v>TPT</v>
      </c>
      <c r="B17" s="175" t="str">
        <f>'Power  Query'!L16</f>
        <v>All ages</v>
      </c>
      <c r="C17" s="172" t="str">
        <f>'Power  Query'!M16</f>
        <v>PLWHIV on ART started TPT</v>
      </c>
      <c r="D17" s="172">
        <f>'Power  Query'!N16</f>
        <v>0</v>
      </c>
      <c r="E17" s="172">
        <f>'Power  Query'!N77</f>
        <v>0</v>
      </c>
      <c r="F17" s="172" t="str" cm="1">
        <f t="array" ref="F17">IFERROR(_xlfn.IFS((E17-D17)/E17&gt;0.05,"confirm if data is correct",(D17-E17)/D17&gt;0.05,"confirm if data is correct"),"")</f>
        <v/>
      </c>
      <c r="G17" s="172">
        <f>'Power  Query'!Q16</f>
        <v>0</v>
      </c>
      <c r="H17" s="172">
        <f>'Power  Query'!Q77</f>
        <v>0</v>
      </c>
      <c r="I17" s="175" t="str" cm="1">
        <f t="array" ref="I17">IFERROR(_xlfn.IFS((H17-G17)/H17&gt;0.05,"confirm if data is correct",(G17-H17)/G17&gt;0.05,"confirm if data is correct"),"")</f>
        <v/>
      </c>
      <c r="J17" s="181" t="str">
        <f t="shared" si="1"/>
        <v/>
      </c>
    </row>
    <row r="18" spans="1:10" x14ac:dyDescent="0.3">
      <c r="A18" s="172" t="str">
        <f>'Power  Query'!K17</f>
        <v>DSTB outcome</v>
      </c>
      <c r="B18" s="175" t="str">
        <f>'Power  Query'!L17</f>
        <v>All ages</v>
      </c>
      <c r="C18" s="172" t="str">
        <f>'Power  Query'!M17</f>
        <v>DSTB Treatment success</v>
      </c>
      <c r="D18" s="172">
        <f>'Power  Query'!P17</f>
        <v>0</v>
      </c>
      <c r="E18" s="172">
        <f>'Power  Query'!P78</f>
        <v>0</v>
      </c>
      <c r="F18" s="172" t="str" cm="1">
        <f t="array" ref="F18">IFERROR(_xlfn.IFS((E18-D18)/E18&gt;0.05,"confirm if data is correct",(D18-E18)/D18&gt;0.05,"confirm if data is correct"),"")</f>
        <v/>
      </c>
      <c r="G18" s="172">
        <f>'Power  Query'!Q17</f>
        <v>0</v>
      </c>
      <c r="H18" s="172">
        <f>'Power  Query'!Q78</f>
        <v>0</v>
      </c>
      <c r="I18" s="175" t="str" cm="1">
        <f t="array" ref="I18">IFERROR(_xlfn.IFS((H18-G18)/H18&gt;0.05,"confirm if data is correct",(G18-H18)/G18&gt;0.05,"confirm if data is correct"),"")</f>
        <v/>
      </c>
      <c r="J18" s="181" t="str">
        <f t="shared" ref="J18:J35" si="2">IFERROR(IF(E18&lt;&gt;H18,"TIER.Net does not match DHIS, please investigate",""),"")</f>
        <v/>
      </c>
    </row>
    <row r="19" spans="1:10" x14ac:dyDescent="0.3">
      <c r="A19" s="172" t="str">
        <f>'Power  Query'!K18</f>
        <v>DSTB outcome</v>
      </c>
      <c r="B19" s="175" t="str">
        <f>'Power  Query'!L18</f>
        <v>All ages</v>
      </c>
      <c r="C19" s="172" t="str">
        <f>'Power  Query'!M18</f>
        <v>DSTB LTFU</v>
      </c>
      <c r="D19" s="172">
        <f>'Power  Query'!P18</f>
        <v>0</v>
      </c>
      <c r="E19" s="172">
        <f>'Power  Query'!P79</f>
        <v>0</v>
      </c>
      <c r="F19" s="172" t="str" cm="1">
        <f t="array" ref="F19">IFERROR(_xlfn.IFS((E19-D19)/E19&gt;0.05,"confirm if data is correct",(D19-E19)/D19&gt;0.05,"confirm if data is correct"),"")</f>
        <v/>
      </c>
      <c r="G19" s="172">
        <f>'Power  Query'!Q18</f>
        <v>0</v>
      </c>
      <c r="H19" s="172">
        <f>'Power  Query'!Q79</f>
        <v>0</v>
      </c>
      <c r="I19" s="175" t="str" cm="1">
        <f t="array" ref="I19">IFERROR(_xlfn.IFS((H19-G19)/H19&gt;0.05,"confirm if data is correct",(G19-H19)/G19&gt;0.05,"confirm if data is correct"),"")</f>
        <v/>
      </c>
      <c r="J19" s="181" t="str">
        <f t="shared" si="2"/>
        <v/>
      </c>
    </row>
    <row r="20" spans="1:10" x14ac:dyDescent="0.3">
      <c r="A20" s="172" t="str">
        <f>'Power  Query'!K19</f>
        <v>DSTB outcome</v>
      </c>
      <c r="B20" s="175" t="str">
        <f>'Power  Query'!L19</f>
        <v>All ages</v>
      </c>
      <c r="C20" s="172" t="str">
        <f>'Power  Query'!M19</f>
        <v>DSTB Treatment Failure</v>
      </c>
      <c r="D20" s="172">
        <f>'Power  Query'!P19</f>
        <v>0</v>
      </c>
      <c r="E20" s="172">
        <f>'Power  Query'!P80</f>
        <v>0</v>
      </c>
      <c r="F20" s="172" t="str" cm="1">
        <f t="array" ref="F20">IFERROR(_xlfn.IFS((E20-D20)/E20&gt;0.05,"confirm if data is correct",(D20-E20)/D20&gt;0.05,"confirm if data is correct"),"")</f>
        <v/>
      </c>
      <c r="G20" s="172">
        <f>'Power  Query'!Q19</f>
        <v>0</v>
      </c>
      <c r="H20" s="172">
        <f>'Power  Query'!Q80</f>
        <v>0</v>
      </c>
      <c r="I20" s="175" t="str" cm="1">
        <f t="array" ref="I20">IFERROR(_xlfn.IFS((H20-G20)/H20&gt;0.05,"confirm if data is correct",(G20-H20)/G20&gt;0.05,"confirm if data is correct"),"")</f>
        <v/>
      </c>
      <c r="J20" s="181" t="str">
        <f t="shared" si="2"/>
        <v/>
      </c>
    </row>
    <row r="21" spans="1:10" x14ac:dyDescent="0.3">
      <c r="A21" s="172" t="str">
        <f>'Power  Query'!K20</f>
        <v>DSTB outcome</v>
      </c>
      <c r="B21" s="175" t="str">
        <f>'Power  Query'!L20</f>
        <v>All ages</v>
      </c>
      <c r="C21" s="172" t="str">
        <f>'Power  Query'!M20</f>
        <v>DSTB Died</v>
      </c>
      <c r="D21" s="172">
        <f>'Power  Query'!P20</f>
        <v>0</v>
      </c>
      <c r="E21" s="172">
        <f>'Power  Query'!P81</f>
        <v>0</v>
      </c>
      <c r="F21" s="172" t="str" cm="1">
        <f t="array" ref="F21">IFERROR(_xlfn.IFS((E21-D21)/E21&gt;0.05,"confirm if data is correct",(D21-E21)/D21&gt;0.05,"confirm if data is correct"),"")</f>
        <v/>
      </c>
      <c r="G21" s="172">
        <f>'Power  Query'!Q20</f>
        <v>0</v>
      </c>
      <c r="H21" s="172">
        <f>'Power  Query'!Q81</f>
        <v>0</v>
      </c>
      <c r="I21" s="175" t="str" cm="1">
        <f t="array" ref="I21">IFERROR(_xlfn.IFS((H21-G21)/H21&gt;0.05,"confirm if data is correct",(G21-H21)/G21&gt;0.05,"confirm if data is correct"),"")</f>
        <v/>
      </c>
      <c r="J21" s="181" t="str">
        <f t="shared" si="2"/>
        <v/>
      </c>
    </row>
    <row r="22" spans="1:10" x14ac:dyDescent="0.3">
      <c r="A22" s="172" t="str">
        <f>'Power  Query'!K21</f>
        <v>DSTB outcome</v>
      </c>
      <c r="B22" s="175" t="str">
        <f>'Power  Query'!L21</f>
        <v>All ages</v>
      </c>
      <c r="C22" s="172" t="str">
        <f>'Power  Query'!M21</f>
        <v>Not evaluated</v>
      </c>
      <c r="D22" s="172">
        <f>'Power  Query'!P21</f>
        <v>0</v>
      </c>
      <c r="E22" s="172">
        <f>'Power  Query'!P82</f>
        <v>0</v>
      </c>
      <c r="F22" s="172" t="str" cm="1">
        <f t="array" ref="F22">IFERROR(_xlfn.IFS((E22-D22)/E22&gt;0.05,"confirm if data is correct",(D22-E22)/D22&gt;0.05,"confirm if data is correct"),"")</f>
        <v/>
      </c>
      <c r="G22" s="172">
        <f>'Power  Query'!Q21</f>
        <v>0</v>
      </c>
      <c r="H22" s="172">
        <f>'Power  Query'!Q82</f>
        <v>0</v>
      </c>
      <c r="I22" s="175" t="str" cm="1">
        <f t="array" ref="I22">IFERROR(_xlfn.IFS((H22-G22)/H22&gt;0.05,"confirm if data is correct",(G22-H22)/G22&gt;0.05,"confirm if data is correct"),"")</f>
        <v/>
      </c>
      <c r="J22" s="181" t="str">
        <f t="shared" si="2"/>
        <v/>
      </c>
    </row>
    <row r="23" spans="1:10" x14ac:dyDescent="0.3">
      <c r="A23" s="172" t="str">
        <f>'Power  Query'!K22</f>
        <v>DSTB outcome</v>
      </c>
      <c r="B23" s="175" t="str">
        <f>'Power  Query'!L22</f>
        <v>All ages</v>
      </c>
      <c r="C23" s="172" t="str">
        <f>'Power  Query'!M22</f>
        <v>DSTB Total</v>
      </c>
      <c r="D23" s="172">
        <f>'Power  Query'!P22</f>
        <v>0</v>
      </c>
      <c r="E23" s="172">
        <f>'Power  Query'!P83</f>
        <v>0</v>
      </c>
      <c r="F23" s="172" t="str" cm="1">
        <f t="array" ref="F23">IFERROR(_xlfn.IFS((E23-D23)/E23&gt;0.05,"confirm if data is correct",(D23-E23)/D23&gt;0.05,"confirm if data is correct"),"")</f>
        <v/>
      </c>
      <c r="G23" s="172">
        <f>'Power  Query'!Q22</f>
        <v>0</v>
      </c>
      <c r="H23" s="172">
        <f>'Power  Query'!Q83</f>
        <v>0</v>
      </c>
      <c r="I23" s="175" t="str" cm="1">
        <f t="array" ref="I23">IFERROR(_xlfn.IFS((H23-G23)/H23&gt;0.05,"confirm if data is correct",(G23-H23)/G23&gt;0.05,"confirm if data is correct"),"")</f>
        <v/>
      </c>
      <c r="J23" s="181" t="str">
        <f t="shared" si="2"/>
        <v/>
      </c>
    </row>
    <row r="24" spans="1:10" x14ac:dyDescent="0.3">
      <c r="A24" s="172" t="str">
        <f>'Power  Query'!K23</f>
        <v>DSTB outcome</v>
      </c>
      <c r="B24" s="175" t="str">
        <f>'Power  Query'!L23</f>
        <v>All ages</v>
      </c>
      <c r="C24" s="172" t="str">
        <f>'Power  Query'!M23</f>
        <v>DSTB Transfer out (TFO)</v>
      </c>
      <c r="D24" s="172">
        <f>'Power  Query'!P23</f>
        <v>0</v>
      </c>
      <c r="E24" s="172">
        <f>'Power  Query'!P84</f>
        <v>0</v>
      </c>
      <c r="F24" s="172" t="str" cm="1">
        <f t="array" ref="F24">IFERROR(_xlfn.IFS((E24-D24)/E24&gt;0.05,"confirm if data is correct",(D24-E24)/D24&gt;0.05,"confirm if data is correct"),"")</f>
        <v/>
      </c>
      <c r="G24" s="172">
        <f>'Power  Query'!Q23</f>
        <v>0</v>
      </c>
      <c r="H24" s="172">
        <f>'Power  Query'!Q84</f>
        <v>0</v>
      </c>
      <c r="I24" s="175" t="str" cm="1">
        <f t="array" ref="I24">IFERROR(_xlfn.IFS((H24-G24)/H24&gt;0.05,"confirm if data is correct",(G24-H24)/G24&gt;0.05,"confirm if data is correct"),"")</f>
        <v/>
      </c>
      <c r="J24" s="181" t="str">
        <f t="shared" si="2"/>
        <v/>
      </c>
    </row>
    <row r="25" spans="1:10" x14ac:dyDescent="0.3">
      <c r="A25" s="172" t="str">
        <f>'Power  Query'!K24</f>
        <v>DSTB outcome</v>
      </c>
      <c r="B25" s="175" t="str">
        <f>'Power  Query'!L24</f>
        <v>All ages</v>
      </c>
      <c r="C25" s="172" t="str">
        <f>'Power  Query'!M24</f>
        <v>TB Rif resistant</v>
      </c>
      <c r="D25" s="172">
        <f>'Power  Query'!P24</f>
        <v>0</v>
      </c>
      <c r="E25" s="172">
        <f>'Power  Query'!P85</f>
        <v>0</v>
      </c>
      <c r="F25" s="172" t="str" cm="1">
        <f t="array" ref="F25">IFERROR(_xlfn.IFS((E25-D25)/E25&gt;0.05,"confirm if data is correct",(D25-E25)/D25&gt;0.05,"confirm if data is correct"),"")</f>
        <v/>
      </c>
      <c r="G25" s="172">
        <f>'Power  Query'!Q24</f>
        <v>0</v>
      </c>
      <c r="H25" s="172">
        <f>'Power  Query'!Q85</f>
        <v>0</v>
      </c>
      <c r="I25" s="175" t="str" cm="1">
        <f t="array" ref="I25">IFERROR(_xlfn.IFS((H25-G25)/H25&gt;0.05,"confirm if data is correct",(G25-H25)/G25&gt;0.05,"confirm if data is correct"),"")</f>
        <v/>
      </c>
      <c r="J25" s="181" t="str">
        <f t="shared" si="2"/>
        <v/>
      </c>
    </row>
    <row r="26" spans="1:10" x14ac:dyDescent="0.3">
      <c r="A26" s="172" t="str">
        <f>'Power  Query'!K25</f>
        <v>DSTB outcome</v>
      </c>
      <c r="B26" s="175" t="str">
        <f>'Power  Query'!L25</f>
        <v>All ages</v>
      </c>
      <c r="C26" s="172" t="str">
        <f>'Power  Query'!M25</f>
        <v>TB MDR</v>
      </c>
      <c r="D26" s="172">
        <f>'Power  Query'!P25</f>
        <v>0</v>
      </c>
      <c r="E26" s="172">
        <f>'Power  Query'!P86</f>
        <v>0</v>
      </c>
      <c r="F26" s="172" t="str" cm="1">
        <f t="array" ref="F26">IFERROR(_xlfn.IFS((E26-D26)/E26&gt;0.05,"confirm if data is correct",(D26-E26)/D26&gt;0.05,"confirm if data is correct"),"")</f>
        <v/>
      </c>
      <c r="G26" s="172">
        <f>'Power  Query'!Q25</f>
        <v>0</v>
      </c>
      <c r="H26" s="172">
        <f>'Power  Query'!Q86</f>
        <v>0</v>
      </c>
      <c r="I26" s="175" t="str" cm="1">
        <f t="array" ref="I26">IFERROR(_xlfn.IFS((H26-G26)/H26&gt;0.05,"confirm if data is correct",(G26-H26)/G26&gt;0.05,"confirm if data is correct"),"")</f>
        <v/>
      </c>
      <c r="J26" s="181" t="str">
        <f t="shared" si="2"/>
        <v/>
      </c>
    </row>
    <row r="27" spans="1:10" x14ac:dyDescent="0.3">
      <c r="A27" s="172" t="str">
        <f>'Power  Query'!K26</f>
        <v>DSTB outcome</v>
      </c>
      <c r="B27" s="175" t="str">
        <f>'Power  Query'!L26</f>
        <v>All ages</v>
      </c>
      <c r="C27" s="172" t="str">
        <f>'Power  Query'!M26</f>
        <v>TB Total all cases</v>
      </c>
      <c r="D27" s="172">
        <f>'Power  Query'!P26</f>
        <v>0</v>
      </c>
      <c r="E27" s="172">
        <f>'Power  Query'!P87</f>
        <v>0</v>
      </c>
      <c r="F27" s="172" t="str" cm="1">
        <f t="array" ref="F27">IFERROR(_xlfn.IFS((E27-D27)/E27&gt;0.05,"confirm if data is correct",(D27-E27)/D27&gt;0.05,"confirm if data is correct"),"")</f>
        <v/>
      </c>
      <c r="G27" s="172">
        <f>'Power  Query'!Q26</f>
        <v>0</v>
      </c>
      <c r="H27" s="172">
        <f>'Power  Query'!Q87</f>
        <v>0</v>
      </c>
      <c r="I27" s="175" t="str" cm="1">
        <f t="array" ref="I27">IFERROR(_xlfn.IFS((H27-G27)/H27&gt;0.05,"confirm if data is correct",(G27-H27)/G27&gt;0.05,"confirm if data is correct"),"")</f>
        <v/>
      </c>
      <c r="J27" s="181" t="str">
        <f t="shared" si="2"/>
        <v/>
      </c>
    </row>
    <row r="28" spans="1:10" x14ac:dyDescent="0.3">
      <c r="A28" s="172" t="str">
        <f>'Power  Query'!K27</f>
        <v>DSTB outcome</v>
      </c>
      <c r="B28" s="175" t="str">
        <f>'Power  Query'!L27</f>
        <v>All ages</v>
      </c>
      <c r="C28" s="172" t="str">
        <f>'Power  Query'!M27</f>
        <v>Duplicates found</v>
      </c>
      <c r="D28" s="172">
        <f>'Power  Query'!P27</f>
        <v>0</v>
      </c>
      <c r="E28" s="172">
        <f>'Power  Query'!P88</f>
        <v>0</v>
      </c>
      <c r="F28" s="172" t="str" cm="1">
        <f t="array" ref="F28">IFERROR(_xlfn.IFS((E28-D28)/E28&gt;0.05,"confirm if data is correct",(D28-E28)/D28&gt;0.05,"confirm if data is correct"),"")</f>
        <v/>
      </c>
      <c r="G28" s="172">
        <f>'Power  Query'!Q27</f>
        <v>0</v>
      </c>
      <c r="H28" s="172">
        <f>'Power  Query'!Q88</f>
        <v>0</v>
      </c>
      <c r="I28" s="175" t="str" cm="1">
        <f t="array" ref="I28">IFERROR(_xlfn.IFS((H28-G28)/H28&gt;0.05,"confirm if data is correct",(G28-H28)/G28&gt;0.05,"confirm if data is correct"),"")</f>
        <v/>
      </c>
      <c r="J28" s="181" t="str">
        <f t="shared" si="2"/>
        <v/>
      </c>
    </row>
    <row r="29" spans="1:10" x14ac:dyDescent="0.3">
      <c r="A29" s="172" t="str">
        <f>'Power  Query'!K28</f>
        <v>TB cascade</v>
      </c>
      <c r="B29" s="175" t="str">
        <f>'Power  Query'!L28</f>
        <v>Over 5 years</v>
      </c>
      <c r="C29" s="172" t="str">
        <f>'Power  Query'!M28</f>
        <v>Headcount</v>
      </c>
      <c r="D29" s="172">
        <f>'Power  Query'!O28</f>
        <v>0</v>
      </c>
      <c r="E29" s="172">
        <f>'Power  Query'!O89</f>
        <v>0</v>
      </c>
      <c r="F29" s="172" t="str" cm="1">
        <f t="array" ref="F29">IFERROR(_xlfn.IFS((E29-D29)/E29&gt;0.05,"confirm if data is correct",(D29-E29)/D29&gt;0.05,"confirm if data is correct"),"")</f>
        <v/>
      </c>
      <c r="G29" s="172">
        <f>'Power  Query'!Q28</f>
        <v>0</v>
      </c>
      <c r="H29" s="172">
        <f>'Power  Query'!Q89</f>
        <v>0</v>
      </c>
      <c r="I29" s="175" t="str" cm="1">
        <f t="array" ref="I29">IFERROR(_xlfn.IFS((H29-G29)/H29&gt;0.05,"confirm if data is correct",(G29-H29)/G29&gt;0.05,"confirm if data is correct"),"")</f>
        <v/>
      </c>
      <c r="J29" s="181" t="str">
        <f>IFERROR(IF(E29&lt;&gt;H29,"Summary sheet does not match DHIS, please investigate",""),"")</f>
        <v/>
      </c>
    </row>
    <row r="30" spans="1:10" x14ac:dyDescent="0.3">
      <c r="A30" s="172" t="str">
        <f>'Power  Query'!K29</f>
        <v>TB cascade</v>
      </c>
      <c r="B30" s="175" t="str">
        <f>'Power  Query'!L29</f>
        <v>Over 5 years</v>
      </c>
      <c r="C30" s="172" t="str">
        <f>'Power  Query'!M29</f>
        <v>TB screening</v>
      </c>
      <c r="D30" s="172">
        <f>'Power  Query'!O29</f>
        <v>1967</v>
      </c>
      <c r="E30" s="172">
        <f>'Power  Query'!O90</f>
        <v>0</v>
      </c>
      <c r="F30" s="172" t="str" cm="1">
        <f t="array" ref="F30">IFERROR(_xlfn.IFS((E30-D30)/E30&gt;0.05,"confirm if data is correct",(D30-E30)/D30&gt;0.05,"confirm if data is correct"),"")</f>
        <v/>
      </c>
      <c r="G30" s="172">
        <f>'Power  Query'!Q29</f>
        <v>0</v>
      </c>
      <c r="H30" s="172">
        <f>'Power  Query'!Q90</f>
        <v>0</v>
      </c>
      <c r="I30" s="175" t="str" cm="1">
        <f t="array" ref="I30">IFERROR(_xlfn.IFS((H30-G30)/H30&gt;0.05,"confirm if data is correct",(G30-H30)/G30&gt;0.05,"confirm if data is correct"),"")</f>
        <v/>
      </c>
      <c r="J30" s="181" t="str">
        <f>IFERROR(IF(E30&lt;&gt;H30,"Summary sheet does not match DHIS, please investigate",""),"")</f>
        <v/>
      </c>
    </row>
    <row r="31" spans="1:10" x14ac:dyDescent="0.3">
      <c r="A31" s="172" t="str">
        <f>'Power  Query'!K30</f>
        <v>TB cascade</v>
      </c>
      <c r="B31" s="175" t="str">
        <f>'Power  Query'!L30</f>
        <v>Over 5 years</v>
      </c>
      <c r="C31" s="172" t="str">
        <f>'Power  Query'!M30</f>
        <v>Client eligible for TB  test</v>
      </c>
      <c r="D31" s="172">
        <f>'Power  Query'!P30</f>
        <v>0</v>
      </c>
      <c r="E31" s="172">
        <f>'Power  Query'!P91</f>
        <v>0</v>
      </c>
      <c r="F31" s="172" t="str" cm="1">
        <f t="array" ref="F31">IFERROR(_xlfn.IFS((E31-D31)/E31&gt;0.05,"confirm if data is correct",(D31-E31)/D31&gt;0.05,"confirm if data is correct"),"")</f>
        <v/>
      </c>
      <c r="G31" s="172">
        <f>'Power  Query'!Q30</f>
        <v>0</v>
      </c>
      <c r="H31" s="172">
        <f>'Power  Query'!Q91</f>
        <v>0</v>
      </c>
      <c r="I31" s="175" t="str" cm="1">
        <f t="array" ref="I31">IFERROR(_xlfn.IFS((H31-G31)/H31&gt;0.05,"confirm if data is correct",(G31-H31)/G31&gt;0.05,"confirm if data is correct"),"")</f>
        <v/>
      </c>
      <c r="J31" s="181" t="str">
        <f t="shared" si="2"/>
        <v/>
      </c>
    </row>
    <row r="32" spans="1:10" x14ac:dyDescent="0.3">
      <c r="A32" s="172" t="str">
        <f>'Power  Query'!K31</f>
        <v>TB cascade</v>
      </c>
      <c r="B32" s="175" t="str">
        <f>'Power  Query'!L31</f>
        <v>Over 5 years</v>
      </c>
      <c r="C32" s="172" t="str">
        <f>'Power  Query'!M31</f>
        <v>TB test using GeneXpert</v>
      </c>
      <c r="D32" s="172">
        <f>'Power  Query'!P31</f>
        <v>0</v>
      </c>
      <c r="E32" s="172">
        <f>'Power  Query'!P92</f>
        <v>0</v>
      </c>
      <c r="F32" s="172" t="str" cm="1">
        <f t="array" ref="F32">IFERROR(_xlfn.IFS((E32-D32)/E32&gt;0.05,"confirm if data is correct",(D32-E32)/D32&gt;0.05,"confirm if data is correct"),"")</f>
        <v/>
      </c>
      <c r="G32" s="172">
        <f>'Power  Query'!Q31</f>
        <v>0</v>
      </c>
      <c r="H32" s="172">
        <f>'Power  Query'!Q92</f>
        <v>0</v>
      </c>
      <c r="I32" s="175" t="str" cm="1">
        <f t="array" ref="I32">IFERROR(_xlfn.IFS((H32-G32)/H32&gt;0.05,"confirm if data is correct",(G32-H32)/G32&gt;0.05,"confirm if data is correct"),"")</f>
        <v/>
      </c>
      <c r="J32" s="181" t="str">
        <f t="shared" si="2"/>
        <v/>
      </c>
    </row>
    <row r="33" spans="1:10" x14ac:dyDescent="0.3">
      <c r="A33" s="172" t="str">
        <f>'Power  Query'!K32</f>
        <v>TB cascade</v>
      </c>
      <c r="B33" s="175" t="str">
        <f>'Power  Query'!L32</f>
        <v>Over 5 years</v>
      </c>
      <c r="C33" s="172" t="str">
        <f>'Power  Query'!M32</f>
        <v xml:space="preserve">DS-TB clinically diagnosed </v>
      </c>
      <c r="D33" s="172">
        <f>'Power  Query'!P32</f>
        <v>0</v>
      </c>
      <c r="E33" s="172">
        <f>'Power  Query'!P93</f>
        <v>0</v>
      </c>
      <c r="F33" s="172" t="str" cm="1">
        <f t="array" ref="F33">IFERROR(_xlfn.IFS((E33-D33)/E33&gt;0.05,"confirm if data is correct",(D33-E33)/D33&gt;0.05,"confirm if data is correct"),"")</f>
        <v/>
      </c>
      <c r="G33" s="172">
        <f>'Power  Query'!Q32</f>
        <v>0</v>
      </c>
      <c r="H33" s="172">
        <f>'Power  Query'!Q93</f>
        <v>0</v>
      </c>
      <c r="I33" s="175" t="str" cm="1">
        <f t="array" ref="I33">IFERROR(_xlfn.IFS((H33-G33)/H33&gt;0.05,"confirm if data is correct",(G33-H33)/G33&gt;0.05,"confirm if data is correct"),"")</f>
        <v/>
      </c>
      <c r="J33" s="181" t="str">
        <f t="shared" si="2"/>
        <v/>
      </c>
    </row>
    <row r="34" spans="1:10" x14ac:dyDescent="0.3">
      <c r="A34" s="172" t="str">
        <f>'Power  Query'!K33</f>
        <v>TB cascade</v>
      </c>
      <c r="B34" s="175" t="str">
        <f>'Power  Query'!L33</f>
        <v>Over 5 years</v>
      </c>
      <c r="C34" s="172" t="str">
        <f>'Power  Query'!M33</f>
        <v xml:space="preserve">DS-TB Bacteriologically confirmed </v>
      </c>
      <c r="D34" s="172">
        <f>'Power  Query'!P33</f>
        <v>0</v>
      </c>
      <c r="E34" s="172">
        <f>'Power  Query'!P94</f>
        <v>0</v>
      </c>
      <c r="F34" s="172" t="str" cm="1">
        <f t="array" ref="F34">IFERROR(_xlfn.IFS((E34-D34)/E34&gt;0.05,"confirm if data is correct",(D34-E34)/D34&gt;0.05,"confirm if data is correct"),"")</f>
        <v/>
      </c>
      <c r="G34" s="172">
        <f>'Power  Query'!Q33</f>
        <v>0</v>
      </c>
      <c r="H34" s="172">
        <f>'Power  Query'!Q94</f>
        <v>0</v>
      </c>
      <c r="I34" s="175" t="str" cm="1">
        <f t="array" ref="I34">IFERROR(_xlfn.IFS((H34-G34)/H34&gt;0.05,"confirm if data is correct",(G34-H34)/G34&gt;0.05,"confirm if data is correct"),"")</f>
        <v/>
      </c>
      <c r="J34" s="181" t="str">
        <f t="shared" si="2"/>
        <v/>
      </c>
    </row>
    <row r="35" spans="1:10" x14ac:dyDescent="0.3">
      <c r="A35" s="172" t="str">
        <f>'Power  Query'!K34</f>
        <v>TB cascade</v>
      </c>
      <c r="B35" s="175" t="str">
        <f>'Power  Query'!L34</f>
        <v>Over 5 years</v>
      </c>
      <c r="C35" s="172" t="str">
        <f>'Power  Query'!M34</f>
        <v>RR-TB bacteriologically confirmed</v>
      </c>
      <c r="D35" s="172">
        <f>'Power  Query'!P34</f>
        <v>0</v>
      </c>
      <c r="E35" s="172">
        <f>'Power  Query'!P95</f>
        <v>0</v>
      </c>
      <c r="F35" s="172" t="str" cm="1">
        <f t="array" ref="F35">IFERROR(_xlfn.IFS((E35-D35)/E35&gt;0.05,"confirm if data is correct",(D35-E35)/D35&gt;0.05,"confirm if data is correct"),"")</f>
        <v/>
      </c>
      <c r="G35" s="172">
        <f>'Power  Query'!Q34</f>
        <v>0</v>
      </c>
      <c r="H35" s="172">
        <f>'Power  Query'!Q95</f>
        <v>0</v>
      </c>
      <c r="I35" s="175" t="str" cm="1">
        <f t="array" ref="I35">IFERROR(_xlfn.IFS((H35-G35)/H35&gt;0.05,"confirm if data is correct",(G35-H35)/G35&gt;0.05,"confirm if data is correct"),"")</f>
        <v/>
      </c>
      <c r="J35" s="181" t="str">
        <f t="shared" si="2"/>
        <v/>
      </c>
    </row>
    <row r="36" spans="1:10" x14ac:dyDescent="0.3">
      <c r="A36" s="172" t="str">
        <f>'Power  Query'!K35</f>
        <v>TB cascade</v>
      </c>
      <c r="B36" s="175" t="str">
        <f>'Power  Query'!L35</f>
        <v>Over 5 years</v>
      </c>
      <c r="C36" s="172" t="str">
        <f>'Power  Query'!M35</f>
        <v>DSTB treatment start</v>
      </c>
      <c r="D36" s="172">
        <f>'Power  Query'!P35</f>
        <v>6</v>
      </c>
      <c r="E36" s="172">
        <f>'Power  Query'!P96</f>
        <v>0</v>
      </c>
      <c r="F36" s="172" t="str" cm="1">
        <f t="array" ref="F36">IFERROR(_xlfn.IFS((E36-D36)/E36&gt;0.05,"confirm if data is correct",(D36-E36)/D36&gt;0.05,"confirm if data is correct"),"")</f>
        <v/>
      </c>
      <c r="G36" s="172">
        <f>'Power  Query'!Q35</f>
        <v>0</v>
      </c>
      <c r="H36" s="172">
        <f>'Power  Query'!Q96</f>
        <v>0</v>
      </c>
      <c r="I36" s="175" t="str" cm="1">
        <f t="array" ref="I36">IFERROR(_xlfn.IFS((H36-G36)/H36&gt;0.05,"confirm if data is correct",(G36-H36)/G36&gt;0.05,"confirm if data is correct"),"")</f>
        <v/>
      </c>
      <c r="J36" s="181" t="str">
        <f>IFERROR(IF(E36&lt;&gt;H36,"TIER.Net does not match DHIS, please investigate",""),"")</f>
        <v/>
      </c>
    </row>
    <row r="37" spans="1:10" x14ac:dyDescent="0.3">
      <c r="A37" s="172" t="str">
        <f>'Power  Query'!K36</f>
        <v>TB cascade</v>
      </c>
      <c r="B37" s="175" t="str">
        <f>'Power  Query'!L36</f>
        <v>Over 5 years</v>
      </c>
      <c r="C37" s="172" t="str">
        <f>'Power  Query'!M36</f>
        <v>Number initial lost to follow-up</v>
      </c>
      <c r="D37" s="172">
        <f>'Power  Query'!P36</f>
        <v>-6</v>
      </c>
      <c r="E37" s="172">
        <f>'Power  Query'!P97</f>
        <v>0</v>
      </c>
      <c r="F37" s="172" t="str" cm="1">
        <f t="array" ref="F37">IFERROR(_xlfn.IFS((E37-D37)/E37&gt;0.05,"confirm if data is correct",(D37-E37)/D37&gt;0.05,"confirm if data is correct"),"")</f>
        <v/>
      </c>
      <c r="G37" s="172">
        <f>'Power  Query'!Q36</f>
        <v>0</v>
      </c>
      <c r="H37" s="172">
        <f>'Power  Query'!Q97</f>
        <v>0</v>
      </c>
      <c r="I37" s="175" t="str" cm="1">
        <f t="array" ref="I37">IFERROR(_xlfn.IFS((H37-G37)/H37&gt;0.05,"confirm if data is correct",(G37-H37)/G37&gt;0.05,"confirm if data is correct"),"")</f>
        <v/>
      </c>
      <c r="J37" s="181" t="str">
        <f t="shared" ref="J37:J39" si="3">IFERROR(IF(E37&lt;&gt;H37,"TIER.Net does not match DHIS, please investigate",""),"")</f>
        <v/>
      </c>
    </row>
    <row r="38" spans="1:10" x14ac:dyDescent="0.3">
      <c r="A38" s="172" t="str">
        <f>'Power  Query'!K37</f>
        <v>TB cascade</v>
      </c>
      <c r="B38" s="175" t="str">
        <f>'Power  Query'!L37</f>
        <v>Over 5 years</v>
      </c>
      <c r="C38" s="172" t="str">
        <f>'Power  Query'!M37</f>
        <v>NHLS ALERTS DS-TB</v>
      </c>
      <c r="D38" s="172">
        <f>'Power  Query'!P37</f>
        <v>0</v>
      </c>
      <c r="E38" s="172">
        <f>'Power  Query'!P98</f>
        <v>0</v>
      </c>
      <c r="F38" s="172" t="str" cm="1">
        <f t="array" ref="F38">IFERROR(_xlfn.IFS((E38-D38)/E38&gt;0.05,"confirm if data is correct",(D38-E38)/D38&gt;0.05,"confirm if data is correct"),"")</f>
        <v/>
      </c>
      <c r="G38" s="176">
        <f>'Power  Query'!Q37</f>
        <v>0</v>
      </c>
      <c r="H38" s="176">
        <f>'Power  Query'!Q98</f>
        <v>0</v>
      </c>
      <c r="I38" s="180" t="str" cm="1">
        <f t="array" ref="I38">IFERROR(_xlfn.IFS((H38-G38)/H38&gt;0.05,"confirm if data is correct",(G38-H38)/G38&gt;0.05,"confirm if data is correct"),"")</f>
        <v/>
      </c>
      <c r="J38" s="181" t="str">
        <f t="shared" si="3"/>
        <v/>
      </c>
    </row>
    <row r="39" spans="1:10" x14ac:dyDescent="0.3">
      <c r="A39" s="172" t="str">
        <f>'Power  Query'!K38</f>
        <v>TPT</v>
      </c>
      <c r="B39" s="175" t="str">
        <f>'Power  Query'!L38</f>
        <v>Over 5 years</v>
      </c>
      <c r="C39" s="172" t="str">
        <f>'Power  Query'!M38</f>
        <v xml:space="preserve">TB contact </v>
      </c>
      <c r="D39" s="172">
        <f>'Power  Query'!N38</f>
        <v>0</v>
      </c>
      <c r="E39" s="172">
        <f>'Power  Query'!N99</f>
        <v>0</v>
      </c>
      <c r="F39" s="173" t="str">
        <f>IF((D33+D34+D8+D9+D10+D35)&gt;D39,"few contacts but high index, encourage contact tracing","clear")</f>
        <v>clear</v>
      </c>
      <c r="G39" s="176">
        <f>'Power  Query'!Q38</f>
        <v>0</v>
      </c>
      <c r="H39" s="176">
        <f>'Power  Query'!Q99</f>
        <v>0</v>
      </c>
      <c r="I39" s="173" t="str">
        <f>IF((G33+G34+G8+G9+G10+G35)&gt;G39,"few contacts but high index, encourage contact tracing","clear")</f>
        <v>clear</v>
      </c>
      <c r="J39" s="181" t="str">
        <f t="shared" si="3"/>
        <v/>
      </c>
    </row>
    <row r="40" spans="1:10" x14ac:dyDescent="0.3">
      <c r="A40" s="172" t="str">
        <f>'Power  Query'!K39</f>
        <v>TPT</v>
      </c>
      <c r="B40" s="175" t="str">
        <f>'Power  Query'!L39</f>
        <v>Over 5 years</v>
      </c>
      <c r="C40" s="172" t="str">
        <f>'Power  Query'!M39</f>
        <v>TB contact start on TPT</v>
      </c>
      <c r="D40" s="172">
        <f>'Power  Query'!N39</f>
        <v>0</v>
      </c>
      <c r="E40" s="172">
        <f>'Power  Query'!N100</f>
        <v>0</v>
      </c>
      <c r="F40" s="173" t="str">
        <f>IF((D34+D35+D9+D10+D8+D33)&gt;D40,"few contacts but high index, encourage TPT","clear")</f>
        <v>clear</v>
      </c>
      <c r="G40" s="176">
        <f>'Power  Query'!Q39</f>
        <v>0</v>
      </c>
      <c r="H40" s="176">
        <f>'Power  Query'!Q100</f>
        <v>0</v>
      </c>
      <c r="I40" s="173" t="str">
        <f>IF((G34+G35+G9+G10+G8+G33)&gt;G40,"few contacts but high index, encourage TPT","clear")</f>
        <v>clear</v>
      </c>
      <c r="J40" s="181" t="str">
        <f>IFERROR(IF(E40&lt;&gt;H40,"TB ID does not match DHIS, please investigate",""),"")</f>
        <v/>
      </c>
    </row>
    <row r="41" spans="1:10" x14ac:dyDescent="0.3">
      <c r="A41" s="172" t="str">
        <f>'Power  Query'!K40</f>
        <v>TB register lists</v>
      </c>
      <c r="B41" s="175" t="str">
        <f>'Power  Query'!L40</f>
        <v>All ages</v>
      </c>
      <c r="C41" s="172" t="str">
        <f>'Power  Query'!M40</f>
        <v>TB identification results outstanding list</v>
      </c>
      <c r="D41" s="172">
        <f>'Power  Query'!P40</f>
        <v>0</v>
      </c>
      <c r="E41" s="172">
        <f>'Power  Query'!P101</f>
        <v>0</v>
      </c>
      <c r="F41" s="174" t="str">
        <f>IFERROR(IF(E41&gt;D41,"Data is not correct, please review","clear"),"")</f>
        <v>clear</v>
      </c>
      <c r="G41" s="177"/>
      <c r="H41" s="177"/>
      <c r="I41" s="177"/>
      <c r="J41" s="181"/>
    </row>
    <row r="42" spans="1:10" x14ac:dyDescent="0.3">
      <c r="A42" s="172" t="str">
        <f>'Power  Query'!K41</f>
        <v>TB register lists</v>
      </c>
      <c r="B42" s="175" t="str">
        <f>'Power  Query'!L41</f>
        <v>All ages</v>
      </c>
      <c r="C42" s="172" t="str">
        <f>'Power  Query'!M41</f>
        <v>Waiting for TB treatment list</v>
      </c>
      <c r="D42" s="172">
        <f>'Power  Query'!P41</f>
        <v>0</v>
      </c>
      <c r="E42" s="172">
        <f>'Power  Query'!P102</f>
        <v>0</v>
      </c>
      <c r="F42" s="174" t="str">
        <f t="shared" ref="F42:F50" si="4">IFERROR(IF(E42&gt;D42,"Data is not correct, please review","clear"),"")</f>
        <v>clear</v>
      </c>
      <c r="G42" s="177"/>
      <c r="H42" s="177"/>
      <c r="I42" s="177"/>
      <c r="J42" s="181"/>
    </row>
    <row r="43" spans="1:10" x14ac:dyDescent="0.3">
      <c r="A43" s="172" t="str">
        <f>'Power  Query'!K42</f>
        <v>TB register lists</v>
      </c>
      <c r="B43" s="175" t="str">
        <f>'Power  Query'!L42</f>
        <v>All ages</v>
      </c>
      <c r="C43" s="172" t="str">
        <f>'Power  Query'!M42</f>
        <v>DSTB coversion sputa required list</v>
      </c>
      <c r="D43" s="172">
        <f>'Power  Query'!P42</f>
        <v>0</v>
      </c>
      <c r="E43" s="172">
        <f>'Power  Query'!P103</f>
        <v>0</v>
      </c>
      <c r="F43" s="174" t="str">
        <f t="shared" si="4"/>
        <v>clear</v>
      </c>
      <c r="G43" s="177"/>
      <c r="H43" s="177"/>
      <c r="I43" s="177"/>
      <c r="J43" s="181"/>
    </row>
    <row r="44" spans="1:10" x14ac:dyDescent="0.3">
      <c r="A44" s="172" t="str">
        <f>'Power  Query'!K43</f>
        <v>TB register lists</v>
      </c>
      <c r="B44" s="175" t="str">
        <f>'Power  Query'!L43</f>
        <v>All ages</v>
      </c>
      <c r="C44" s="172" t="str">
        <f>'Power  Query'!M43</f>
        <v>DSTB discharge sputa required list</v>
      </c>
      <c r="D44" s="172">
        <f>'Power  Query'!P43</f>
        <v>0</v>
      </c>
      <c r="E44" s="172">
        <f>'Power  Query'!P104</f>
        <v>0</v>
      </c>
      <c r="F44" s="174" t="str">
        <f t="shared" si="4"/>
        <v>clear</v>
      </c>
      <c r="G44" s="177"/>
      <c r="H44" s="177"/>
      <c r="I44" s="177"/>
      <c r="J44" s="181"/>
    </row>
    <row r="45" spans="1:10" x14ac:dyDescent="0.3">
      <c r="A45" s="172" t="str">
        <f>'Power  Query'!K44</f>
        <v>TB register lists</v>
      </c>
      <c r="B45" s="175" t="str">
        <f>'Power  Query'!L44</f>
        <v>All ages</v>
      </c>
      <c r="C45" s="172" t="str">
        <f>'Power  Query'!M44</f>
        <v>DSTB outstanding outcomes list</v>
      </c>
      <c r="D45" s="172">
        <f>'Power  Query'!P44</f>
        <v>0</v>
      </c>
      <c r="E45" s="172">
        <f>'Power  Query'!P105</f>
        <v>0</v>
      </c>
      <c r="F45" s="174" t="str">
        <f t="shared" si="4"/>
        <v>clear</v>
      </c>
      <c r="G45" s="177"/>
      <c r="H45" s="177"/>
      <c r="I45" s="177"/>
      <c r="J45" s="181"/>
    </row>
    <row r="46" spans="1:10" x14ac:dyDescent="0.3">
      <c r="A46" s="172" t="str">
        <f>'Power  Query'!K45</f>
        <v>TB register lists</v>
      </c>
      <c r="B46" s="175" t="str">
        <f>'Power  Query'!L45</f>
        <v>All ages</v>
      </c>
      <c r="C46" s="172" t="str">
        <f>'Power  Query'!M45</f>
        <v>HIV status missing</v>
      </c>
      <c r="D46" s="172">
        <f>'Power  Query'!P45</f>
        <v>0</v>
      </c>
      <c r="E46" s="172">
        <f>'Power  Query'!P106</f>
        <v>0</v>
      </c>
      <c r="F46" s="174" t="str">
        <f t="shared" si="4"/>
        <v>clear</v>
      </c>
      <c r="G46" s="177"/>
      <c r="H46" s="177"/>
      <c r="I46" s="177"/>
      <c r="J46" s="181"/>
    </row>
    <row r="47" spans="1:10" x14ac:dyDescent="0.3">
      <c r="A47" s="172" t="str">
        <f>'Power  Query'!K46</f>
        <v>TB register lists</v>
      </c>
      <c r="B47" s="175" t="str">
        <f>'Power  Query'!L46</f>
        <v>All ages</v>
      </c>
      <c r="C47" s="172" t="str">
        <f>'Power  Query'!M46</f>
        <v>Early missed appointments</v>
      </c>
      <c r="D47" s="172">
        <f>'Power  Query'!P46</f>
        <v>0</v>
      </c>
      <c r="E47" s="172">
        <f>'Power  Query'!P107</f>
        <v>0</v>
      </c>
      <c r="F47" s="174" t="str">
        <f t="shared" si="4"/>
        <v>clear</v>
      </c>
      <c r="G47" s="177"/>
      <c r="H47" s="177"/>
      <c r="I47" s="177"/>
      <c r="J47" s="181"/>
    </row>
    <row r="48" spans="1:10" x14ac:dyDescent="0.3">
      <c r="A48" s="172" t="str">
        <f>'Power  Query'!K47</f>
        <v>TB register lists</v>
      </c>
      <c r="B48" s="175" t="str">
        <f>'Power  Query'!L47</f>
        <v>All ages</v>
      </c>
      <c r="C48" s="172" t="str">
        <f>'Power  Query'!M47</f>
        <v>Late missed appointments</v>
      </c>
      <c r="D48" s="172">
        <f>'Power  Query'!P47</f>
        <v>0</v>
      </c>
      <c r="E48" s="172">
        <f>'Power  Query'!P108</f>
        <v>0</v>
      </c>
      <c r="F48" s="174" t="str">
        <f t="shared" si="4"/>
        <v>clear</v>
      </c>
      <c r="G48" s="177"/>
      <c r="H48" s="177"/>
      <c r="I48" s="177"/>
      <c r="J48" s="181"/>
    </row>
    <row r="49" spans="1:10" x14ac:dyDescent="0.3">
      <c r="A49" s="172" t="str">
        <f>'Power  Query'!K48</f>
        <v>TB register lists</v>
      </c>
      <c r="B49" s="175" t="str">
        <f>'Power  Query'!L48</f>
        <v>All ages</v>
      </c>
      <c r="C49" s="172" t="str">
        <f>'Power  Query'!M48</f>
        <v>DSTB HIV&amp;ART status (oustanding start)</v>
      </c>
      <c r="D49" s="172">
        <f>'Power  Query'!P48</f>
        <v>0</v>
      </c>
      <c r="E49" s="172">
        <f>'Power  Query'!P109</f>
        <v>0</v>
      </c>
      <c r="F49" s="174" t="str">
        <f t="shared" si="4"/>
        <v>clear</v>
      </c>
      <c r="G49" s="177"/>
      <c r="H49" s="177"/>
      <c r="I49" s="177"/>
      <c r="J49" s="181"/>
    </row>
    <row r="50" spans="1:10" x14ac:dyDescent="0.3">
      <c r="A50" s="172" t="str">
        <f>'Power  Query'!K49</f>
        <v>TB register lists</v>
      </c>
      <c r="B50" s="175" t="str">
        <f>'Power  Query'!L49</f>
        <v>All ages</v>
      </c>
      <c r="C50" s="172" t="str">
        <f>'Power  Query'!M49</f>
        <v>Transfer out list</v>
      </c>
      <c r="D50" s="172">
        <f>'Power  Query'!P49</f>
        <v>0</v>
      </c>
      <c r="E50" s="172">
        <f>'Power  Query'!P110</f>
        <v>0</v>
      </c>
      <c r="F50" s="174" t="str">
        <f t="shared" si="4"/>
        <v>clear</v>
      </c>
      <c r="G50" s="177"/>
      <c r="H50" s="177"/>
      <c r="I50" s="177"/>
      <c r="J50" s="181"/>
    </row>
    <row r="51" spans="1:10" x14ac:dyDescent="0.3">
      <c r="A51" s="172" t="str">
        <f>'Power  Query'!K51</f>
        <v>LFLAM</v>
      </c>
      <c r="B51" s="175" t="str">
        <f>'Power  Query'!L51</f>
        <v>All ages</v>
      </c>
      <c r="C51" s="172" t="str">
        <f>'Power  Query'!M51</f>
        <v>People with CD4 &lt;200</v>
      </c>
      <c r="D51" s="172">
        <f>'Power  Query'!P51</f>
        <v>0</v>
      </c>
      <c r="E51" s="177"/>
      <c r="F51" s="177"/>
      <c r="G51" s="177"/>
      <c r="H51" s="177"/>
      <c r="I51" s="177"/>
      <c r="J51" s="181"/>
    </row>
    <row r="52" spans="1:10" x14ac:dyDescent="0.3">
      <c r="A52" s="172" t="str">
        <f>'Power  Query'!K52</f>
        <v>LFLAM</v>
      </c>
      <c r="B52" s="175" t="str">
        <f>'Power  Query'!L52</f>
        <v>All ages</v>
      </c>
      <c r="C52" s="172" t="str">
        <f>'Power  Query'!M52</f>
        <v>People with tested with ULAM</v>
      </c>
      <c r="D52" s="172">
        <f>'Power  Query'!P52</f>
        <v>0</v>
      </c>
      <c r="E52" s="177"/>
      <c r="F52" s="177"/>
      <c r="G52" s="177"/>
      <c r="H52" s="177"/>
      <c r="I52" s="177"/>
      <c r="J52" s="181"/>
    </row>
    <row r="53" spans="1:10" x14ac:dyDescent="0.3">
      <c r="A53" s="172" t="str">
        <f>'Power  Query'!K53</f>
        <v>LFLAM</v>
      </c>
      <c r="B53" s="175" t="str">
        <f>'Power  Query'!L53</f>
        <v>All ages</v>
      </c>
      <c r="C53" s="172" t="str">
        <f>'Power  Query'!M53</f>
        <v>People with TB confirmed</v>
      </c>
      <c r="D53" s="172">
        <f>'Power  Query'!P53</f>
        <v>0</v>
      </c>
      <c r="E53" s="177"/>
      <c r="F53" s="177"/>
      <c r="G53" s="177"/>
      <c r="H53" s="177"/>
      <c r="I53" s="177"/>
      <c r="J53" s="181"/>
    </row>
    <row r="54" spans="1:10" x14ac:dyDescent="0.3">
      <c r="A54" s="172" t="str">
        <f>'Power  Query'!K54</f>
        <v>LFLAM</v>
      </c>
      <c r="B54" s="175" t="str">
        <f>'Power  Query'!L54</f>
        <v>All ages</v>
      </c>
      <c r="C54" s="172" t="str">
        <f>'Power  Query'!M54</f>
        <v>People with started TB treatment</v>
      </c>
      <c r="D54" s="172">
        <f>'Power  Query'!P54</f>
        <v>0</v>
      </c>
      <c r="E54" s="177"/>
      <c r="F54" s="177"/>
      <c r="G54" s="177"/>
      <c r="H54" s="177"/>
      <c r="I54" s="177"/>
      <c r="J54" s="181"/>
    </row>
    <row r="55" spans="1:10" ht="19.95" customHeight="1" x14ac:dyDescent="0.3"/>
  </sheetData>
  <mergeCells count="5">
    <mergeCell ref="G1:I1"/>
    <mergeCell ref="D1:F1"/>
    <mergeCell ref="A1:A2"/>
    <mergeCell ref="C1:C2"/>
    <mergeCell ref="A3:J3"/>
  </mergeCells>
  <conditionalFormatting sqref="A3:B3">
    <cfRule type="containsText" dxfId="186" priority="8" operator="containsText" text="done">
      <formula>NOT(ISERROR(SEARCH("done",A3)))</formula>
    </cfRule>
    <cfRule type="containsText" dxfId="185" priority="9" operator="containsText" text="reje">
      <formula>NOT(ISERROR(SEARCH("reje",A3)))</formula>
    </cfRule>
  </conditionalFormatting>
  <conditionalFormatting sqref="F4:F50">
    <cfRule type="containsText" dxfId="184" priority="20" operator="containsText" text="clear">
      <formula>NOT(ISERROR(SEARCH("clear",F4)))</formula>
    </cfRule>
    <cfRule type="containsText" dxfId="183" priority="21" operator="containsText" text="confirm">
      <formula>NOT(ISERROR(SEARCH("confirm",F4)))</formula>
    </cfRule>
  </conditionalFormatting>
  <conditionalFormatting sqref="F8:F9">
    <cfRule type="containsText" dxfId="182" priority="19" operator="containsText" text="high">
      <formula>NOT(ISERROR(SEARCH("high",F8)))</formula>
    </cfRule>
  </conditionalFormatting>
  <conditionalFormatting sqref="F39:F40">
    <cfRule type="containsText" dxfId="181" priority="18" operator="containsText" text="few">
      <formula>NOT(ISERROR(SEARCH("few",F39)))</formula>
    </cfRule>
  </conditionalFormatting>
  <conditionalFormatting sqref="F41:F50">
    <cfRule type="containsText" dxfId="180" priority="13" operator="containsText" text="not">
      <formula>NOT(ISERROR(SEARCH("not",F41)))</formula>
    </cfRule>
  </conditionalFormatting>
  <conditionalFormatting sqref="I4:I38">
    <cfRule type="containsText" dxfId="179" priority="16" operator="containsText" text="clear">
      <formula>NOT(ISERROR(SEARCH("clear",I4)))</formula>
    </cfRule>
    <cfRule type="containsText" dxfId="178" priority="17" operator="containsText" text="confirm">
      <formula>NOT(ISERROR(SEARCH("confirm",I4)))</formula>
    </cfRule>
  </conditionalFormatting>
  <conditionalFormatting sqref="I8:I9">
    <cfRule type="containsText" dxfId="177" priority="15" operator="containsText" text="high">
      <formula>NOT(ISERROR(SEARCH("high",I8)))</formula>
    </cfRule>
  </conditionalFormatting>
  <conditionalFormatting sqref="I39:I40">
    <cfRule type="containsText" dxfId="176" priority="4" operator="containsText" text="few">
      <formula>NOT(ISERROR(SEARCH("few",I39)))</formula>
    </cfRule>
    <cfRule type="containsText" dxfId="175" priority="5" operator="containsText" text="clear">
      <formula>NOT(ISERROR(SEARCH("clear",I39)))</formula>
    </cfRule>
    <cfRule type="containsText" dxfId="174" priority="6" operator="containsText" text="confirm">
      <formula>NOT(ISERROR(SEARCH("confirm",I39)))</formula>
    </cfRule>
  </conditionalFormatting>
  <conditionalFormatting sqref="I41:I54">
    <cfRule type="containsText" dxfId="173" priority="10" operator="containsText" text="not">
      <formula>NOT(ISERROR(SEARCH("not",I41)))</formula>
    </cfRule>
    <cfRule type="containsText" dxfId="172" priority="11" operator="containsText" text="clear">
      <formula>NOT(ISERROR(SEARCH("clear",I41)))</formula>
    </cfRule>
    <cfRule type="containsText" dxfId="171" priority="12" operator="containsText" text="confirm">
      <formula>NOT(ISERROR(SEARCH("confirm",I41)))</formula>
    </cfRule>
  </conditionalFormatting>
  <conditionalFormatting sqref="J4:J41">
    <cfRule type="containsText" dxfId="170" priority="7" operator="containsText" text="NOT">
      <formula>NOT(ISERROR(SEARCH("NOT",J4)))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ACFE-DF80-431F-938A-48D65329E07A}">
  <sheetPr>
    <tabColor rgb="FF7030A0"/>
  </sheetPr>
  <dimension ref="B3:F11"/>
  <sheetViews>
    <sheetView showGridLines="0" zoomScale="160" zoomScaleNormal="160" workbookViewId="0">
      <selection activeCell="D15" sqref="D15"/>
    </sheetView>
  </sheetViews>
  <sheetFormatPr defaultColWidth="8.88671875" defaultRowHeight="14.4" x14ac:dyDescent="0.3"/>
  <cols>
    <col min="1" max="1" width="3.88671875" style="192" customWidth="1"/>
    <col min="2" max="2" width="32.33203125" style="192" customWidth="1"/>
    <col min="3" max="3" width="27.88671875" style="192" customWidth="1"/>
    <col min="4" max="4" width="16.109375" style="192" customWidth="1"/>
    <col min="5" max="5" width="25.33203125" style="192" customWidth="1"/>
    <col min="6" max="6" width="23.88671875" style="192" customWidth="1"/>
    <col min="7" max="7" width="28.33203125" style="192" customWidth="1"/>
    <col min="8" max="16384" width="8.88671875" style="192"/>
  </cols>
  <sheetData>
    <row r="3" spans="2:6" s="191" customFormat="1" x14ac:dyDescent="0.3">
      <c r="B3" s="193" t="s">
        <v>122</v>
      </c>
      <c r="C3" s="193" t="s">
        <v>123</v>
      </c>
      <c r="D3" s="193" t="s">
        <v>124</v>
      </c>
      <c r="E3" s="193" t="s">
        <v>125</v>
      </c>
      <c r="F3" s="193" t="s">
        <v>126</v>
      </c>
    </row>
    <row r="4" spans="2:6" x14ac:dyDescent="0.3">
      <c r="B4" t="s">
        <v>127</v>
      </c>
      <c r="C4"/>
      <c r="D4"/>
      <c r="E4"/>
      <c r="F4"/>
    </row>
    <row r="5" spans="2:6" x14ac:dyDescent="0.3">
      <c r="B5" t="s">
        <v>128</v>
      </c>
      <c r="C5"/>
      <c r="D5"/>
      <c r="E5"/>
      <c r="F5"/>
    </row>
    <row r="6" spans="2:6" x14ac:dyDescent="0.3">
      <c r="B6" t="s">
        <v>129</v>
      </c>
      <c r="C6"/>
      <c r="D6"/>
      <c r="E6"/>
      <c r="F6"/>
    </row>
    <row r="7" spans="2:6" x14ac:dyDescent="0.3">
      <c r="B7" t="s">
        <v>130</v>
      </c>
      <c r="C7"/>
      <c r="D7"/>
      <c r="E7"/>
      <c r="F7"/>
    </row>
    <row r="8" spans="2:6" x14ac:dyDescent="0.3">
      <c r="B8" t="s">
        <v>131</v>
      </c>
      <c r="C8"/>
      <c r="D8"/>
      <c r="E8"/>
      <c r="F8"/>
    </row>
    <row r="9" spans="2:6" x14ac:dyDescent="0.3">
      <c r="B9" t="s">
        <v>132</v>
      </c>
      <c r="C9"/>
      <c r="D9"/>
      <c r="E9"/>
      <c r="F9"/>
    </row>
    <row r="10" spans="2:6" x14ac:dyDescent="0.3">
      <c r="B10" t="s">
        <v>133</v>
      </c>
      <c r="C10"/>
      <c r="D10"/>
      <c r="E10"/>
      <c r="F10"/>
    </row>
    <row r="11" spans="2:6" x14ac:dyDescent="0.3">
      <c r="B11" t="s">
        <v>134</v>
      </c>
      <c r="C11"/>
      <c r="D11"/>
      <c r="E11"/>
      <c r="F1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CF29EEC-8E4F-4671-B920-7ACF0E5A5ACC}">
          <x14:formula1>
            <xm:f>'Training validation sheet'!$E$2:$E$3</xm:f>
          </x14:formula1>
          <xm:sqref>C4:C11</xm:sqref>
        </x14:dataValidation>
        <x14:dataValidation type="list" allowBlank="1" showInputMessage="1" showErrorMessage="1" xr:uid="{45C437B5-9FEC-4F28-B8CD-A914B9A1BDA1}">
          <x14:formula1>
            <xm:f>'Training validation sheet'!$G$2:$G$3</xm:f>
          </x14:formula1>
          <xm:sqref>D4:D11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4F89-7F4C-4AF6-89F3-66B3750FF985}">
  <sheetPr>
    <tabColor rgb="FFFFC000"/>
  </sheetPr>
  <dimension ref="B2:V81"/>
  <sheetViews>
    <sheetView showGridLines="0" tabSelected="1" topLeftCell="A9" zoomScale="90" zoomScaleNormal="90" workbookViewId="0">
      <selection activeCell="E23" sqref="E23"/>
    </sheetView>
  </sheetViews>
  <sheetFormatPr defaultRowHeight="14.4" x14ac:dyDescent="0.3"/>
  <cols>
    <col min="2" max="2" width="40.5546875" bestFit="1" customWidth="1"/>
    <col min="3" max="3" width="20" bestFit="1" customWidth="1"/>
    <col min="4" max="4" width="22.88671875" customWidth="1"/>
    <col min="5" max="5" width="14.5546875" customWidth="1"/>
    <col min="6" max="6" width="15.6640625" customWidth="1"/>
    <col min="7" max="8" width="12.109375" bestFit="1" customWidth="1"/>
    <col min="9" max="9" width="16.88671875" customWidth="1"/>
    <col min="10" max="10" width="9.5546875" customWidth="1"/>
    <col min="11" max="11" width="12.109375" bestFit="1" customWidth="1"/>
    <col min="12" max="12" width="14.44140625" customWidth="1"/>
    <col min="13" max="13" width="12.6640625" customWidth="1"/>
    <col min="14" max="14" width="11.88671875" customWidth="1"/>
    <col min="15" max="15" width="14.109375" customWidth="1"/>
    <col min="16" max="16" width="12.109375" bestFit="1" customWidth="1"/>
    <col min="17" max="17" width="9.44140625" bestFit="1" customWidth="1"/>
  </cols>
  <sheetData>
    <row r="2" spans="2:22" x14ac:dyDescent="0.3">
      <c r="B2" s="4"/>
      <c r="C2" s="28"/>
      <c r="D2" s="28"/>
      <c r="E2" s="2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2:22" x14ac:dyDescent="0.3">
      <c r="B3" s="29" t="s">
        <v>135</v>
      </c>
      <c r="C3" s="30" t="s">
        <v>118</v>
      </c>
      <c r="D3" s="29" t="s">
        <v>136</v>
      </c>
      <c r="E3" s="30" t="s">
        <v>137</v>
      </c>
      <c r="F3" s="29" t="s">
        <v>138</v>
      </c>
      <c r="G3" s="31" t="s">
        <v>139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2" x14ac:dyDescent="0.3">
      <c r="B4" s="32" t="s">
        <v>140</v>
      </c>
      <c r="C4" s="33" t="s">
        <v>277</v>
      </c>
      <c r="D4" s="32" t="s">
        <v>278</v>
      </c>
      <c r="E4" s="33"/>
      <c r="F4" s="34"/>
      <c r="G4" s="3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2" x14ac:dyDescent="0.3">
      <c r="B5" s="35" t="s">
        <v>141</v>
      </c>
      <c r="C5" s="36"/>
      <c r="D5" s="32" t="s">
        <v>279</v>
      </c>
      <c r="E5" s="35"/>
      <c r="F5" s="32" t="s">
        <v>143</v>
      </c>
      <c r="G5" s="35" t="s">
        <v>144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2:22" x14ac:dyDescent="0.3">
      <c r="B6" s="35" t="s">
        <v>145</v>
      </c>
      <c r="C6" s="36" t="s">
        <v>146</v>
      </c>
      <c r="D6" s="32" t="s">
        <v>280</v>
      </c>
      <c r="E6" s="35"/>
      <c r="F6" s="37"/>
      <c r="G6" s="3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2:22" x14ac:dyDescent="0.3">
      <c r="B7" s="39"/>
      <c r="C7" s="40"/>
      <c r="D7" s="40"/>
      <c r="E7" s="2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 x14ac:dyDescent="0.3">
      <c r="B8" s="4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42"/>
    </row>
    <row r="9" spans="2:22" ht="15" thickBot="1" x14ac:dyDescent="0.35">
      <c r="B9" s="29" t="s">
        <v>148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42"/>
    </row>
    <row r="10" spans="2:22" ht="15" thickBot="1" x14ac:dyDescent="0.35">
      <c r="B10" s="224" t="s">
        <v>149</v>
      </c>
      <c r="C10" s="226" t="s">
        <v>150</v>
      </c>
      <c r="D10" s="227"/>
      <c r="E10" s="226" t="s">
        <v>151</v>
      </c>
      <c r="F10" s="227"/>
      <c r="G10" s="45" t="s">
        <v>152</v>
      </c>
      <c r="H10" s="46"/>
      <c r="I10" s="226" t="s">
        <v>153</v>
      </c>
      <c r="J10" s="227"/>
      <c r="K10" s="45" t="s">
        <v>152</v>
      </c>
      <c r="L10" s="46"/>
      <c r="M10" s="43" t="s">
        <v>154</v>
      </c>
      <c r="N10" s="44"/>
      <c r="O10" s="45" t="s">
        <v>152</v>
      </c>
      <c r="P10" s="46"/>
      <c r="Q10" s="47"/>
      <c r="R10" s="47"/>
      <c r="S10" s="47"/>
      <c r="T10" s="47"/>
      <c r="U10" s="47"/>
      <c r="V10" s="48"/>
    </row>
    <row r="11" spans="2:22" x14ac:dyDescent="0.3">
      <c r="B11" s="225"/>
      <c r="C11" s="49" t="s">
        <v>155</v>
      </c>
      <c r="D11" s="49" t="s">
        <v>156</v>
      </c>
      <c r="E11" s="49" t="s">
        <v>155</v>
      </c>
      <c r="F11" s="49" t="s">
        <v>157</v>
      </c>
      <c r="G11" s="50" t="s">
        <v>155</v>
      </c>
      <c r="H11" s="50" t="s">
        <v>157</v>
      </c>
      <c r="I11" s="49" t="s">
        <v>155</v>
      </c>
      <c r="J11" s="49" t="s">
        <v>157</v>
      </c>
      <c r="K11" s="50" t="s">
        <v>155</v>
      </c>
      <c r="L11" s="50" t="s">
        <v>157</v>
      </c>
      <c r="M11" s="49" t="s">
        <v>155</v>
      </c>
      <c r="N11" s="49" t="s">
        <v>157</v>
      </c>
      <c r="O11" s="50" t="s">
        <v>155</v>
      </c>
      <c r="P11" s="50" t="s">
        <v>157</v>
      </c>
      <c r="Q11" s="51" t="s">
        <v>126</v>
      </c>
      <c r="R11" s="51"/>
      <c r="S11" s="51"/>
      <c r="T11" s="51"/>
      <c r="U11" s="51"/>
      <c r="V11" s="52"/>
    </row>
    <row r="12" spans="2:22" x14ac:dyDescent="0.3">
      <c r="B12" s="53" t="s">
        <v>158</v>
      </c>
      <c r="C12" s="54"/>
      <c r="D12" s="54"/>
      <c r="E12" s="54"/>
      <c r="F12" s="54"/>
      <c r="G12" s="55" t="str">
        <f>IF(C12=E12, "data is correct", "correct data")</f>
        <v>data is correct</v>
      </c>
      <c r="H12" s="55" t="str">
        <f t="shared" ref="H12:H13" si="0">IF(D12=F12, "data is correct", "correct data")</f>
        <v>data is correct</v>
      </c>
      <c r="I12" s="169"/>
      <c r="J12" s="169"/>
      <c r="K12" s="55"/>
      <c r="L12" s="55"/>
      <c r="M12" s="54"/>
      <c r="N12" s="54"/>
      <c r="O12" s="55" t="str">
        <f>IF(E12=M12, "data is correct", "correct data")</f>
        <v>data is correct</v>
      </c>
      <c r="P12" s="55" t="str">
        <f t="shared" ref="P12:P13" si="1">IF(J12=N12, "data is correct", "correct data")</f>
        <v>data is correct</v>
      </c>
      <c r="Q12" s="57"/>
      <c r="R12" s="57"/>
      <c r="S12" s="57"/>
      <c r="T12" s="57"/>
      <c r="U12" s="57"/>
      <c r="V12" s="58"/>
    </row>
    <row r="13" spans="2:22" x14ac:dyDescent="0.3">
      <c r="B13" s="53" t="s">
        <v>159</v>
      </c>
      <c r="C13" s="54">
        <v>330</v>
      </c>
      <c r="D13" s="54">
        <v>1967</v>
      </c>
      <c r="E13" s="54">
        <v>330</v>
      </c>
      <c r="F13" s="54">
        <v>1967</v>
      </c>
      <c r="G13" s="55" t="str">
        <f>IF(C13=E13, "data is correct", "correct data")</f>
        <v>data is correct</v>
      </c>
      <c r="H13" s="55" t="str">
        <f t="shared" si="0"/>
        <v>data is correct</v>
      </c>
      <c r="I13" s="56"/>
      <c r="J13" s="56"/>
      <c r="K13" s="55"/>
      <c r="L13" s="55"/>
      <c r="M13" s="54"/>
      <c r="N13" s="54"/>
      <c r="O13" s="55" t="str">
        <f>IF(E13=M13, "data is correct", "correct data")</f>
        <v>correct data</v>
      </c>
      <c r="P13" s="55" t="str">
        <f t="shared" si="1"/>
        <v>data is correct</v>
      </c>
      <c r="Q13" s="59"/>
      <c r="R13" s="59"/>
      <c r="S13" s="59"/>
      <c r="T13" s="59"/>
      <c r="U13" s="59"/>
      <c r="V13" s="60"/>
    </row>
    <row r="14" spans="2:22" x14ac:dyDescent="0.3">
      <c r="B14" s="53" t="s">
        <v>160</v>
      </c>
      <c r="C14" s="61" t="str">
        <f>IFERROR(C13/C12,"N/A")</f>
        <v>N/A</v>
      </c>
      <c r="D14" s="61" t="str">
        <f t="shared" ref="D14:E14" si="2">IFERROR(D13/D12,"N/A")</f>
        <v>N/A</v>
      </c>
      <c r="E14" s="61" t="str">
        <f t="shared" si="2"/>
        <v>N/A</v>
      </c>
      <c r="F14" s="61" t="str">
        <f>IFERROR(F13/F12,"N/A")</f>
        <v>N/A</v>
      </c>
      <c r="G14" s="62"/>
      <c r="H14" s="62"/>
      <c r="I14" s="61" t="str">
        <f>IFERROR(I13/I12,"N/A")</f>
        <v>N/A</v>
      </c>
      <c r="J14" s="61" t="str">
        <f t="shared" ref="J14" si="3">IFERROR(J13/J12,"N/A")</f>
        <v>N/A</v>
      </c>
      <c r="K14" s="62"/>
      <c r="L14" s="62"/>
      <c r="M14" s="61" t="str">
        <f>IFERROR(M13/M12,"N/A")</f>
        <v>N/A</v>
      </c>
      <c r="N14" s="61" t="str">
        <f>IFERROR(N13/N12,"N/A")</f>
        <v>N/A</v>
      </c>
      <c r="O14" s="62"/>
      <c r="P14" s="62"/>
      <c r="Q14" s="59"/>
      <c r="R14" s="59"/>
      <c r="S14" s="59"/>
      <c r="T14" s="59"/>
      <c r="U14" s="59"/>
      <c r="V14" s="60"/>
    </row>
    <row r="15" spans="2:22" x14ac:dyDescent="0.3">
      <c r="B15" s="53" t="s">
        <v>161</v>
      </c>
      <c r="C15" s="54">
        <v>0</v>
      </c>
      <c r="D15" s="54">
        <v>121</v>
      </c>
      <c r="E15" s="54">
        <v>0</v>
      </c>
      <c r="F15" s="54">
        <v>121</v>
      </c>
      <c r="G15" s="55" t="str">
        <f>IF(C15=E15, "data is correct", "correct data")</f>
        <v>data is correct</v>
      </c>
      <c r="H15" s="55" t="str">
        <f>IF(D15=F15, "data is correct", "correct data")</f>
        <v>data is correct</v>
      </c>
      <c r="I15" s="54"/>
      <c r="J15" s="54"/>
      <c r="K15" s="55" t="str">
        <f>IF(E15=I15, "data is correct", "correct data")</f>
        <v>data is correct</v>
      </c>
      <c r="L15" s="55" t="str">
        <f>IF(F15=J15, "data is correct", "correct data")</f>
        <v>correct data</v>
      </c>
      <c r="M15" s="54"/>
      <c r="N15" s="54"/>
      <c r="O15" s="55" t="str">
        <f>IF(I15=M15, "data is correct", "correct data")</f>
        <v>data is correct</v>
      </c>
      <c r="P15" s="55" t="str">
        <f>IF(J15=N15, "data is correct", "correct data")</f>
        <v>data is correct</v>
      </c>
      <c r="Q15" s="63"/>
      <c r="R15" s="63"/>
      <c r="S15" s="63"/>
      <c r="T15" s="63"/>
      <c r="U15" s="63"/>
      <c r="V15" s="64"/>
    </row>
    <row r="16" spans="2:22" x14ac:dyDescent="0.3">
      <c r="B16" s="53" t="s">
        <v>162</v>
      </c>
      <c r="C16" s="61">
        <f t="shared" ref="C16" si="4">IFERROR(C15/E13,"N/A")</f>
        <v>0</v>
      </c>
      <c r="D16" s="61">
        <f t="shared" ref="D16" si="5">IFERROR(D15/F13,"N/A")</f>
        <v>6.1514997458057954E-2</v>
      </c>
      <c r="E16" s="61" t="str">
        <f t="shared" ref="E16:F16" si="6">IFERROR(E15/G13,"N/A")</f>
        <v>N/A</v>
      </c>
      <c r="F16" s="61" t="str">
        <f t="shared" si="6"/>
        <v>N/A</v>
      </c>
      <c r="G16" s="62"/>
      <c r="H16" s="62"/>
      <c r="I16" s="61" t="str">
        <f>IFERROR(I15/I13,"N/A")</f>
        <v>N/A</v>
      </c>
      <c r="J16" s="61" t="str">
        <f>IFERROR(J15/J13,"N/A")</f>
        <v>N/A</v>
      </c>
      <c r="K16" s="62"/>
      <c r="L16" s="62"/>
      <c r="M16" s="61" t="str">
        <f>IFERROR(M15/M13,"N/A")</f>
        <v>N/A</v>
      </c>
      <c r="N16" s="61" t="str">
        <f>IFERROR(N15/N13,"N/A")</f>
        <v>N/A</v>
      </c>
      <c r="O16" s="62"/>
      <c r="P16" s="62"/>
      <c r="Q16" s="63"/>
      <c r="R16" s="63"/>
      <c r="S16" s="63"/>
      <c r="T16" s="63"/>
      <c r="U16" s="63"/>
      <c r="V16" s="64"/>
    </row>
    <row r="17" spans="2:22" x14ac:dyDescent="0.3">
      <c r="B17" s="53" t="s">
        <v>163</v>
      </c>
      <c r="C17" s="54">
        <v>0</v>
      </c>
      <c r="D17" s="54">
        <v>119</v>
      </c>
      <c r="E17" s="54">
        <v>0</v>
      </c>
      <c r="F17" s="54">
        <v>119</v>
      </c>
      <c r="G17" s="55" t="str">
        <f t="shared" ref="G17:H20" si="7">IF(C17=E17, "data is correct", "correct data")</f>
        <v>data is correct</v>
      </c>
      <c r="H17" s="55" t="str">
        <f t="shared" si="7"/>
        <v>data is correct</v>
      </c>
      <c r="I17" s="54"/>
      <c r="J17" s="54"/>
      <c r="K17" s="55" t="str">
        <f t="shared" ref="K17:L20" si="8">IF(E17=I17, "data is correct", "correct data")</f>
        <v>data is correct</v>
      </c>
      <c r="L17" s="55" t="str">
        <f t="shared" si="8"/>
        <v>correct data</v>
      </c>
      <c r="M17" s="54"/>
      <c r="N17" s="54"/>
      <c r="O17" s="55" t="str">
        <f t="shared" ref="O17:P20" si="9">IF(I17=M17, "data is correct", "correct data")</f>
        <v>data is correct</v>
      </c>
      <c r="P17" s="55" t="str">
        <f t="shared" si="9"/>
        <v>data is correct</v>
      </c>
      <c r="Q17" s="63"/>
      <c r="R17" s="63"/>
      <c r="S17" s="63"/>
      <c r="T17" s="63"/>
      <c r="U17" s="63"/>
      <c r="V17" s="64"/>
    </row>
    <row r="18" spans="2:22" x14ac:dyDescent="0.3">
      <c r="B18" s="53" t="s">
        <v>164</v>
      </c>
      <c r="C18" s="54">
        <v>0</v>
      </c>
      <c r="D18" s="54">
        <v>1</v>
      </c>
      <c r="E18" s="54">
        <v>0</v>
      </c>
      <c r="F18" s="54">
        <v>1</v>
      </c>
      <c r="G18" s="55" t="str">
        <f t="shared" si="7"/>
        <v>data is correct</v>
      </c>
      <c r="H18" s="55" t="str">
        <f t="shared" si="7"/>
        <v>data is correct</v>
      </c>
      <c r="I18" s="54"/>
      <c r="J18" s="54"/>
      <c r="K18" s="55" t="str">
        <f t="shared" si="8"/>
        <v>data is correct</v>
      </c>
      <c r="L18" s="55" t="str">
        <f t="shared" si="8"/>
        <v>correct data</v>
      </c>
      <c r="M18" s="54"/>
      <c r="N18" s="54"/>
      <c r="O18" s="55" t="str">
        <f t="shared" si="9"/>
        <v>data is correct</v>
      </c>
      <c r="P18" s="55" t="str">
        <f t="shared" si="9"/>
        <v>data is correct</v>
      </c>
      <c r="Q18" s="63"/>
      <c r="R18" s="63"/>
      <c r="S18" s="63"/>
      <c r="T18" s="63"/>
      <c r="U18" s="63"/>
      <c r="V18" s="64"/>
    </row>
    <row r="19" spans="2:22" x14ac:dyDescent="0.3">
      <c r="B19" s="53" t="s">
        <v>165</v>
      </c>
      <c r="C19" s="54">
        <v>0</v>
      </c>
      <c r="D19" s="54">
        <v>20</v>
      </c>
      <c r="E19" s="54">
        <v>0</v>
      </c>
      <c r="F19" s="54">
        <v>20</v>
      </c>
      <c r="G19" s="55" t="str">
        <f t="shared" si="7"/>
        <v>data is correct</v>
      </c>
      <c r="H19" s="55" t="str">
        <f t="shared" si="7"/>
        <v>data is correct</v>
      </c>
      <c r="I19" s="54"/>
      <c r="J19" s="54"/>
      <c r="K19" s="55" t="str">
        <f t="shared" si="8"/>
        <v>data is correct</v>
      </c>
      <c r="L19" s="55" t="str">
        <f t="shared" si="8"/>
        <v>correct data</v>
      </c>
      <c r="M19" s="54"/>
      <c r="N19" s="54"/>
      <c r="O19" s="65" t="str">
        <f t="shared" si="9"/>
        <v>data is correct</v>
      </c>
      <c r="P19" s="65" t="str">
        <f t="shared" si="9"/>
        <v>data is correct</v>
      </c>
      <c r="Q19" s="63"/>
      <c r="R19" s="63"/>
      <c r="S19" s="63"/>
      <c r="T19" s="63"/>
      <c r="U19" s="63"/>
      <c r="V19" s="64"/>
    </row>
    <row r="20" spans="2:22" x14ac:dyDescent="0.3">
      <c r="B20" s="53" t="s">
        <v>166</v>
      </c>
      <c r="C20" s="54">
        <v>0</v>
      </c>
      <c r="D20" s="54">
        <v>2</v>
      </c>
      <c r="E20" s="54">
        <v>0</v>
      </c>
      <c r="F20" s="54">
        <v>2</v>
      </c>
      <c r="G20" s="55" t="str">
        <f t="shared" si="7"/>
        <v>data is correct</v>
      </c>
      <c r="H20" s="55" t="str">
        <f t="shared" si="7"/>
        <v>data is correct</v>
      </c>
      <c r="I20" s="54"/>
      <c r="J20" s="54"/>
      <c r="K20" s="55" t="str">
        <f t="shared" si="8"/>
        <v>data is correct</v>
      </c>
      <c r="L20" s="55" t="str">
        <f t="shared" si="8"/>
        <v>correct data</v>
      </c>
      <c r="M20" s="54"/>
      <c r="N20" s="54"/>
      <c r="O20" s="65" t="str">
        <f t="shared" si="9"/>
        <v>data is correct</v>
      </c>
      <c r="P20" s="65" t="str">
        <f t="shared" si="9"/>
        <v>data is correct</v>
      </c>
      <c r="Q20" s="63"/>
      <c r="R20" s="63"/>
      <c r="S20" s="63"/>
      <c r="T20" s="63"/>
      <c r="U20" s="63"/>
      <c r="V20" s="64"/>
    </row>
    <row r="21" spans="2:22" x14ac:dyDescent="0.3">
      <c r="B21" s="53" t="s">
        <v>167</v>
      </c>
      <c r="C21" s="61" t="str">
        <f>IFERROR((C18+C19)/C15,"N/A")</f>
        <v>N/A</v>
      </c>
      <c r="D21" s="61">
        <f>IFERROR((D18+D19)/D15,"N/A")</f>
        <v>0.17355371900826447</v>
      </c>
      <c r="E21" s="61" t="str">
        <f t="shared" ref="E21:F21" si="10">IFERROR((E18+E19)/E15,"N/A")</f>
        <v>N/A</v>
      </c>
      <c r="F21" s="61">
        <f t="shared" si="10"/>
        <v>0.17355371900826447</v>
      </c>
      <c r="G21" s="62"/>
      <c r="H21" s="62"/>
      <c r="I21" s="61" t="str">
        <f t="shared" ref="I21:J21" si="11">IFERROR((I18+I19)/I15,"N/A")</f>
        <v>N/A</v>
      </c>
      <c r="J21" s="61" t="str">
        <f t="shared" si="11"/>
        <v>N/A</v>
      </c>
      <c r="K21" s="62"/>
      <c r="L21" s="62"/>
      <c r="M21" s="61" t="str">
        <f>IFERROR((M18+M19)/M15,"N/A")</f>
        <v>N/A</v>
      </c>
      <c r="N21" s="61" t="str">
        <f>IFERROR((N18+N19)/N15,"N/A")</f>
        <v>N/A</v>
      </c>
      <c r="O21" s="62"/>
      <c r="P21" s="62"/>
      <c r="Q21" s="63"/>
      <c r="R21" s="63"/>
      <c r="S21" s="63"/>
      <c r="T21" s="63"/>
      <c r="U21" s="63"/>
      <c r="V21" s="64"/>
    </row>
    <row r="22" spans="2:22" x14ac:dyDescent="0.3">
      <c r="B22" s="53" t="s">
        <v>168</v>
      </c>
      <c r="C22" s="54">
        <v>0</v>
      </c>
      <c r="D22" s="54">
        <v>20</v>
      </c>
      <c r="E22" s="54">
        <v>0</v>
      </c>
      <c r="F22" s="54">
        <v>20</v>
      </c>
      <c r="G22" s="55" t="str">
        <f>IF(C22=E22, "data is correct", "correct data")</f>
        <v>data is correct</v>
      </c>
      <c r="H22" s="55" t="str">
        <f>IF(D22=F22, "data is correct", "correct data")</f>
        <v>data is correct</v>
      </c>
      <c r="I22" s="54">
        <v>1</v>
      </c>
      <c r="J22" s="54">
        <v>6</v>
      </c>
      <c r="K22" s="55" t="str">
        <f>IF(E22=I22, "data is correct", "correct data")</f>
        <v>correct data</v>
      </c>
      <c r="L22" s="55" t="str">
        <f>IF(F22=J22, "data is correct", "correct data")</f>
        <v>correct data</v>
      </c>
      <c r="M22" s="54"/>
      <c r="N22" s="54"/>
      <c r="O22" s="55" t="str">
        <f>IF(I22=M22, "data is correct", "correct data")</f>
        <v>correct data</v>
      </c>
      <c r="P22" s="55" t="str">
        <f>IF(J22=N22, "data is correct", "correct data")</f>
        <v>correct data</v>
      </c>
      <c r="Q22" s="63"/>
      <c r="R22" s="63"/>
      <c r="S22" s="63"/>
      <c r="T22" s="63"/>
      <c r="U22" s="63"/>
      <c r="V22" s="64"/>
    </row>
    <row r="23" spans="2:22" x14ac:dyDescent="0.3">
      <c r="B23" s="53" t="s">
        <v>169</v>
      </c>
      <c r="C23" s="61" t="str">
        <f>IFERROR(C22/(C18+C19),"N/A")</f>
        <v>N/A</v>
      </c>
      <c r="D23" s="61">
        <f>IFERROR(D22/(D18+D19),"N/A")</f>
        <v>0.95238095238095233</v>
      </c>
      <c r="E23" s="61" t="str">
        <f t="shared" ref="E23:F23" si="12">IFERROR(E22/(E18+E19),"N/A")</f>
        <v>N/A</v>
      </c>
      <c r="F23" s="61">
        <f t="shared" si="12"/>
        <v>0.95238095238095233</v>
      </c>
      <c r="G23" s="62"/>
      <c r="H23" s="62"/>
      <c r="I23" s="61" t="str">
        <f>IFERROR(I22/(I18+I19),"N/A")</f>
        <v>N/A</v>
      </c>
      <c r="J23" s="61" t="str">
        <f>IFERROR(J22/(J18+J19),"N/A")</f>
        <v>N/A</v>
      </c>
      <c r="K23" s="62"/>
      <c r="L23" s="62"/>
      <c r="M23" s="61" t="str">
        <f>IFERROR(M22/(M18+M19),"N/A")</f>
        <v>N/A</v>
      </c>
      <c r="N23" s="61" t="str">
        <f>IFERROR(N22/(N18+N19),"N/A")</f>
        <v>N/A</v>
      </c>
      <c r="O23" s="62"/>
      <c r="P23" s="62"/>
      <c r="Q23" s="63"/>
      <c r="R23" s="63"/>
      <c r="S23" s="63"/>
      <c r="T23" s="63"/>
      <c r="U23" s="63"/>
      <c r="V23" s="64"/>
    </row>
    <row r="24" spans="2:22" x14ac:dyDescent="0.3">
      <c r="B24" s="53" t="s">
        <v>170</v>
      </c>
      <c r="C24" s="66">
        <f>(C18+C19)-C22</f>
        <v>0</v>
      </c>
      <c r="D24" s="66">
        <f>(D18+D19)-D22</f>
        <v>1</v>
      </c>
      <c r="E24" s="66">
        <f t="shared" ref="E24:F24" si="13">(E18+E19)-E22</f>
        <v>0</v>
      </c>
      <c r="F24" s="66">
        <f t="shared" si="13"/>
        <v>1</v>
      </c>
      <c r="G24" s="55" t="str">
        <f>IF(C24=E24, "data is correct", "correct data")</f>
        <v>data is correct</v>
      </c>
      <c r="H24" s="55" t="str">
        <f>IF(D24=F24, "data is correct", "correct data")</f>
        <v>data is correct</v>
      </c>
      <c r="I24" s="66">
        <f>(I18+I19)-I22</f>
        <v>-1</v>
      </c>
      <c r="J24" s="66">
        <f>(J18+J19)-J22</f>
        <v>-6</v>
      </c>
      <c r="K24" s="55" t="str">
        <f>IF(E24=I24, "data is correct", "correct data")</f>
        <v>correct data</v>
      </c>
      <c r="L24" s="55" t="str">
        <f>IF(F24=J24, "data is correct", "correct data")</f>
        <v>correct data</v>
      </c>
      <c r="M24" s="66">
        <f>(M18+M19)-M22</f>
        <v>0</v>
      </c>
      <c r="N24" s="66">
        <f>(N18+N19)-N22</f>
        <v>0</v>
      </c>
      <c r="O24" s="55" t="str">
        <f>IF(I24=M24, "data is correct", "correct data")</f>
        <v>correct data</v>
      </c>
      <c r="P24" s="55" t="str">
        <f>IF(J24=N24, "data is correct", "correct data")</f>
        <v>correct data</v>
      </c>
      <c r="Q24" s="63"/>
      <c r="R24" s="63"/>
      <c r="S24" s="63"/>
      <c r="T24" s="63"/>
      <c r="U24" s="63"/>
      <c r="V24" s="64"/>
    </row>
    <row r="25" spans="2:22" x14ac:dyDescent="0.3">
      <c r="B25" s="53" t="s">
        <v>171</v>
      </c>
      <c r="C25" s="61" t="str">
        <f>IFERROR(C24/C22,"N/A")</f>
        <v>N/A</v>
      </c>
      <c r="D25" s="61">
        <f t="shared" ref="D25" si="14">IFERROR(D24/D22,"N/A")</f>
        <v>0.05</v>
      </c>
      <c r="E25" s="67" t="str">
        <f>IFERROR(E24/E22,"N/A")</f>
        <v>N/A</v>
      </c>
      <c r="F25" s="61">
        <f t="shared" ref="F25" si="15">IFERROR(F24/F22,"N/A")</f>
        <v>0.05</v>
      </c>
      <c r="G25" s="62"/>
      <c r="H25" s="62"/>
      <c r="I25" s="67">
        <f>IFERROR(I24/I22,"N/A")</f>
        <v>-1</v>
      </c>
      <c r="J25" s="61">
        <f t="shared" ref="J25" si="16">IFERROR(J24/J22,"N/A")</f>
        <v>-1</v>
      </c>
      <c r="K25" s="62"/>
      <c r="L25" s="62"/>
      <c r="M25" s="61" t="str">
        <f>IFERROR(M24/M22,"N/A")</f>
        <v>N/A</v>
      </c>
      <c r="N25" s="61" t="str">
        <f>IFERROR(N24/N22,"N/A")</f>
        <v>N/A</v>
      </c>
      <c r="O25" s="62"/>
      <c r="P25" s="62"/>
      <c r="Q25" s="63"/>
      <c r="R25" s="63"/>
      <c r="S25" s="63"/>
      <c r="T25" s="63"/>
      <c r="U25" s="63"/>
      <c r="V25" s="64"/>
    </row>
    <row r="26" spans="2:22" x14ac:dyDescent="0.3">
      <c r="B26" s="68" t="s">
        <v>172</v>
      </c>
      <c r="C26" s="69" t="s">
        <v>173</v>
      </c>
      <c r="D26" s="69" t="s">
        <v>174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</row>
    <row r="27" spans="2:22" x14ac:dyDescent="0.3">
      <c r="B27" s="99" t="s">
        <v>175</v>
      </c>
      <c r="C27" s="71"/>
      <c r="D27" s="72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</row>
    <row r="28" spans="2:22" x14ac:dyDescent="0.3">
      <c r="B28" s="99" t="s">
        <v>176</v>
      </c>
      <c r="C28" s="73" t="str">
        <f>IF(C19=C27,"data is correct","update TIR with correct number")</f>
        <v>data is correct</v>
      </c>
      <c r="D28" s="73" t="str">
        <f>IF(D19=D27,"data is correct","update TIR with correct number")</f>
        <v>update TIR with correct number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</row>
    <row r="29" spans="2:22" ht="15" thickBot="1" x14ac:dyDescent="0.35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</row>
    <row r="30" spans="2:22" ht="15" thickBot="1" x14ac:dyDescent="0.35">
      <c r="B30" s="74"/>
      <c r="C30" s="228" t="s">
        <v>150</v>
      </c>
      <c r="D30" s="229"/>
      <c r="E30" s="228" t="s">
        <v>151</v>
      </c>
      <c r="F30" s="229"/>
      <c r="G30" s="77"/>
      <c r="H30" s="77"/>
      <c r="I30" s="230" t="s">
        <v>177</v>
      </c>
      <c r="J30" s="231"/>
      <c r="K30" s="77"/>
      <c r="L30" s="77"/>
      <c r="M30" s="75" t="s">
        <v>154</v>
      </c>
      <c r="N30" s="76"/>
      <c r="O30" s="75" t="s">
        <v>152</v>
      </c>
      <c r="P30" s="76"/>
      <c r="Q30" s="78"/>
      <c r="R30" s="78"/>
      <c r="S30" s="78"/>
      <c r="T30" s="78"/>
      <c r="U30" s="78"/>
      <c r="V30" s="78"/>
    </row>
    <row r="31" spans="2:22" x14ac:dyDescent="0.3">
      <c r="B31" s="79" t="s">
        <v>178</v>
      </c>
      <c r="C31" s="80" t="s">
        <v>155</v>
      </c>
      <c r="D31" s="80" t="s">
        <v>156</v>
      </c>
      <c r="E31" s="81" t="s">
        <v>155</v>
      </c>
      <c r="F31" s="82" t="s">
        <v>157</v>
      </c>
      <c r="G31" s="83"/>
      <c r="H31" s="83"/>
      <c r="I31" s="50" t="s">
        <v>155</v>
      </c>
      <c r="J31" s="50" t="s">
        <v>157</v>
      </c>
      <c r="K31" s="83"/>
      <c r="L31" s="83"/>
      <c r="M31" s="84" t="s">
        <v>155</v>
      </c>
      <c r="N31" s="85" t="s">
        <v>157</v>
      </c>
      <c r="O31" s="86" t="s">
        <v>155</v>
      </c>
      <c r="P31" s="87" t="s">
        <v>157</v>
      </c>
      <c r="Q31" s="88"/>
      <c r="R31" s="88"/>
      <c r="S31" s="89"/>
      <c r="T31" s="88"/>
      <c r="U31" s="88"/>
      <c r="V31" s="87"/>
    </row>
    <row r="32" spans="2:22" x14ac:dyDescent="0.3">
      <c r="B32" s="98" t="s">
        <v>179</v>
      </c>
      <c r="C32" s="90">
        <v>0</v>
      </c>
      <c r="D32" s="90">
        <v>0</v>
      </c>
      <c r="E32" s="90"/>
      <c r="F32" s="90"/>
      <c r="G32" s="55" t="str">
        <f>IF(C32=E32, "data is correct", "correct data")</f>
        <v>data is correct</v>
      </c>
      <c r="H32" s="55" t="str">
        <f>IF(D32=F32, "data is correct", "correct data")</f>
        <v>data is correct</v>
      </c>
      <c r="I32" s="54"/>
      <c r="J32" s="54"/>
      <c r="K32" s="55" t="str">
        <f>IF(E32=I32, "data is correct", "correct data")</f>
        <v>data is correct</v>
      </c>
      <c r="L32" s="65" t="str">
        <f>IF(F32=J32, "data is correct", "correct data")</f>
        <v>data is correct</v>
      </c>
      <c r="M32" s="91"/>
      <c r="N32" s="92"/>
      <c r="O32" s="93" t="str">
        <f>IF(E32=M32, "data is correct", "correct data")</f>
        <v>data is correct</v>
      </c>
      <c r="P32" s="55" t="str">
        <f>IF(F32=N32, "data is correct", "correct data")</f>
        <v>data is correct</v>
      </c>
      <c r="Q32" s="94"/>
      <c r="R32" s="94"/>
      <c r="S32" s="95"/>
      <c r="T32" s="94"/>
      <c r="U32" s="94"/>
      <c r="V32" s="96"/>
    </row>
    <row r="33" spans="2:22" x14ac:dyDescent="0.3">
      <c r="B33" s="98" t="s">
        <v>180</v>
      </c>
      <c r="C33" s="54">
        <v>0</v>
      </c>
      <c r="D33" s="54">
        <v>0</v>
      </c>
      <c r="E33" s="54"/>
      <c r="F33" s="54"/>
      <c r="G33" s="55" t="str">
        <f>IF(C33=E33, "data is correct", "correct data")</f>
        <v>data is correct</v>
      </c>
      <c r="H33" s="55" t="str">
        <f>IF(D33=F33, "data is correct", "correct data")</f>
        <v>data is correct</v>
      </c>
      <c r="I33" s="54"/>
      <c r="J33" s="54"/>
      <c r="K33" s="55" t="str">
        <f>IF(E33=I33, "data is correct", "correct data")</f>
        <v>data is correct</v>
      </c>
      <c r="L33" s="65" t="str">
        <f>IF(F33=J33, "data is correct", "correct data")</f>
        <v>data is correct</v>
      </c>
      <c r="M33" s="91"/>
      <c r="N33" s="92"/>
      <c r="O33" s="93" t="str">
        <f>IF(E33=M33, "data is correct", "correct data")</f>
        <v>data is correct</v>
      </c>
      <c r="P33" s="55" t="str">
        <f>IF(F33=N33, "data is correct", "correct data")</f>
        <v>data is correct</v>
      </c>
      <c r="Q33" s="94"/>
      <c r="R33" s="94"/>
      <c r="S33" s="95"/>
      <c r="T33" s="94"/>
      <c r="U33" s="94"/>
      <c r="V33" s="96"/>
    </row>
    <row r="34" spans="2:22" x14ac:dyDescent="0.3">
      <c r="B34" s="98" t="s">
        <v>181</v>
      </c>
      <c r="C34" s="61" t="str">
        <f>IFERROR(C33/C32,"N/A")</f>
        <v>N/A</v>
      </c>
      <c r="D34" s="61" t="str">
        <f t="shared" ref="D34:F34" si="17">IFERROR(D33/D32,"N/A")</f>
        <v>N/A</v>
      </c>
      <c r="E34" s="61" t="str">
        <f t="shared" si="17"/>
        <v>N/A</v>
      </c>
      <c r="F34" s="61" t="str">
        <f t="shared" si="17"/>
        <v>N/A</v>
      </c>
      <c r="G34" s="65"/>
      <c r="H34" s="65"/>
      <c r="I34" s="61" t="str">
        <f>IFERROR(I33/I32,"N/A")</f>
        <v>N/A</v>
      </c>
      <c r="J34" s="61" t="str">
        <f>IFERROR(J33/J32,"N/A")</f>
        <v>N/A</v>
      </c>
      <c r="K34" s="65"/>
      <c r="L34" s="65"/>
      <c r="M34" s="61" t="str">
        <f>IFERROR(M33/M32,"N/A")</f>
        <v>N/A</v>
      </c>
      <c r="N34" s="61" t="str">
        <f>IFERROR(N33/N32,"N/A")</f>
        <v>N/A</v>
      </c>
      <c r="O34" s="93"/>
      <c r="P34" s="55"/>
      <c r="Q34" s="94"/>
      <c r="R34" s="94"/>
      <c r="S34" s="95"/>
      <c r="T34" s="94"/>
      <c r="U34" s="94"/>
      <c r="V34" s="96"/>
    </row>
    <row r="35" spans="2:22" ht="16.2" customHeight="1" x14ac:dyDescent="0.3">
      <c r="B35" s="29" t="s">
        <v>182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2" ht="15" customHeight="1" x14ac:dyDescent="0.3">
      <c r="B36" s="53" t="s">
        <v>183</v>
      </c>
      <c r="C36" s="97">
        <v>0</v>
      </c>
      <c r="D36" s="54">
        <v>0</v>
      </c>
      <c r="E36" s="97"/>
      <c r="F36" s="54"/>
      <c r="G36" s="55" t="str">
        <f>IF(A36=E36, "data is correct", "correct data")</f>
        <v>data is correct</v>
      </c>
      <c r="H36" s="55" t="str">
        <f>IF(B36=F36, "data is correct", "correct data")</f>
        <v>correct data</v>
      </c>
      <c r="I36" s="97"/>
      <c r="J36" s="54"/>
      <c r="K36" s="55" t="str">
        <f t="shared" ref="K36:L37" si="18">IF(E36=I36, "data is correct", "correct data")</f>
        <v>data is correct</v>
      </c>
      <c r="L36" s="65" t="str">
        <f t="shared" si="18"/>
        <v>data is correct</v>
      </c>
      <c r="M36" s="97"/>
      <c r="N36" s="94"/>
      <c r="O36" s="55" t="str">
        <f t="shared" ref="O36:P37" si="19">IF(E36=M36, "data is correct", "correct data")</f>
        <v>data is correct</v>
      </c>
      <c r="P36" s="55" t="str">
        <f t="shared" si="19"/>
        <v>data is correct</v>
      </c>
      <c r="Q36" s="94"/>
      <c r="R36" s="94"/>
      <c r="S36" s="95"/>
      <c r="T36" s="94"/>
      <c r="U36" s="94"/>
      <c r="V36" s="96"/>
    </row>
    <row r="37" spans="2:22" x14ac:dyDescent="0.3">
      <c r="B37" s="53" t="s">
        <v>184</v>
      </c>
      <c r="C37" s="97">
        <v>0</v>
      </c>
      <c r="D37" s="54">
        <v>0</v>
      </c>
      <c r="E37" s="97"/>
      <c r="F37" s="54"/>
      <c r="G37" s="55" t="str">
        <f>IF(A37=E37, "data is correct", "correct data")</f>
        <v>data is correct</v>
      </c>
      <c r="H37" s="55" t="str">
        <f>IF(B37=F37, "data is correct", "correct data")</f>
        <v>correct data</v>
      </c>
      <c r="I37" s="97"/>
      <c r="J37" s="54"/>
      <c r="K37" s="55" t="str">
        <f t="shared" si="18"/>
        <v>data is correct</v>
      </c>
      <c r="L37" s="65" t="str">
        <f t="shared" si="18"/>
        <v>data is correct</v>
      </c>
      <c r="M37" s="97"/>
      <c r="N37" s="94"/>
      <c r="O37" s="55" t="str">
        <f t="shared" si="19"/>
        <v>data is correct</v>
      </c>
      <c r="P37" s="55" t="str">
        <f t="shared" si="19"/>
        <v>data is correct</v>
      </c>
      <c r="Q37" s="94"/>
      <c r="R37" s="94"/>
      <c r="S37" s="95"/>
      <c r="T37" s="94"/>
      <c r="U37" s="94"/>
      <c r="V37" s="96"/>
    </row>
    <row r="38" spans="2:22" x14ac:dyDescent="0.3">
      <c r="B38" s="53" t="s">
        <v>185</v>
      </c>
      <c r="C38" s="61" t="str">
        <f>IFERROR(C37/C36,"N/A")</f>
        <v>N/A</v>
      </c>
      <c r="D38" s="61" t="str">
        <f>IFERROR(D37/D36,"N/A")</f>
        <v>N/A</v>
      </c>
      <c r="E38" s="61" t="str">
        <f>IFERROR(E37/E36,"N/A")</f>
        <v>N/A</v>
      </c>
      <c r="F38" s="61" t="str">
        <f>IFERROR(F37/F36,"N/A")</f>
        <v>N/A</v>
      </c>
      <c r="G38" s="55"/>
      <c r="H38" s="55"/>
      <c r="I38" s="61" t="str">
        <f>IFERROR(I37/I36,"N/A")</f>
        <v>N/A</v>
      </c>
      <c r="J38" s="61" t="str">
        <f>IFERROR(J37/J36,"N/A")</f>
        <v>N/A</v>
      </c>
      <c r="K38" s="65"/>
      <c r="L38" s="65"/>
      <c r="M38" s="61" t="str">
        <f>IFERROR(M37/M36,"N/A")</f>
        <v>N/A</v>
      </c>
      <c r="N38" s="61" t="str">
        <f>IFERROR(N37/N36,"N/A")</f>
        <v>N/A</v>
      </c>
      <c r="O38" s="55"/>
      <c r="P38" s="55"/>
      <c r="Q38" s="94"/>
      <c r="R38" s="94"/>
      <c r="S38" s="95"/>
      <c r="T38" s="94"/>
      <c r="U38" s="94"/>
      <c r="V38" s="96"/>
    </row>
    <row r="39" spans="2:22" x14ac:dyDescent="0.3">
      <c r="B39" s="100"/>
      <c r="C39" s="101"/>
      <c r="D39" s="101"/>
      <c r="E39" s="102"/>
      <c r="F39" s="102"/>
      <c r="G39" s="102"/>
      <c r="H39" s="102"/>
      <c r="I39" s="102"/>
      <c r="J39" s="102"/>
      <c r="K39" s="102"/>
    </row>
    <row r="40" spans="2:22" x14ac:dyDescent="0.3">
      <c r="B40" s="103" t="s">
        <v>186</v>
      </c>
      <c r="C40" s="104"/>
      <c r="D40" s="104"/>
      <c r="E40" s="104"/>
      <c r="F40" s="104"/>
      <c r="G40" s="104"/>
      <c r="H40" s="104"/>
      <c r="I40" s="104"/>
      <c r="J40" s="104"/>
      <c r="K40" s="104"/>
    </row>
    <row r="41" spans="2:22" x14ac:dyDescent="0.3">
      <c r="B41" s="41" t="s">
        <v>187</v>
      </c>
      <c r="C41" s="6"/>
      <c r="D41" s="6"/>
      <c r="E41" s="6"/>
      <c r="F41" s="6"/>
      <c r="G41" s="6"/>
      <c r="H41" s="6"/>
      <c r="I41" s="6"/>
      <c r="J41" s="6"/>
      <c r="K41" s="6"/>
    </row>
    <row r="42" spans="2:22" x14ac:dyDescent="0.3">
      <c r="B42" s="105"/>
      <c r="C42" s="106" t="s">
        <v>188</v>
      </c>
      <c r="D42" s="107" t="s">
        <v>126</v>
      </c>
      <c r="E42" s="108"/>
      <c r="F42" s="109"/>
      <c r="G42" s="110"/>
      <c r="H42" s="110"/>
      <c r="I42" s="110"/>
      <c r="J42" s="110"/>
      <c r="K42" s="111"/>
    </row>
    <row r="43" spans="2:22" x14ac:dyDescent="0.3">
      <c r="B43" s="112" t="s">
        <v>189</v>
      </c>
      <c r="C43" s="113"/>
      <c r="D43" s="212"/>
      <c r="E43" s="213"/>
      <c r="F43" s="213"/>
      <c r="G43" s="213"/>
      <c r="H43" s="213"/>
      <c r="I43" s="213"/>
      <c r="J43" s="213"/>
      <c r="K43" s="214"/>
    </row>
    <row r="44" spans="2:22" x14ac:dyDescent="0.3">
      <c r="B44" s="114" t="s">
        <v>190</v>
      </c>
      <c r="C44" s="54"/>
      <c r="D44" s="218"/>
      <c r="E44" s="219"/>
      <c r="F44" s="219"/>
      <c r="G44" s="219"/>
      <c r="H44" s="219"/>
      <c r="I44" s="219"/>
      <c r="J44" s="219"/>
      <c r="K44" s="220"/>
    </row>
    <row r="45" spans="2:22" x14ac:dyDescent="0.3">
      <c r="B45" s="114" t="s">
        <v>191</v>
      </c>
      <c r="C45" s="54"/>
      <c r="D45" s="218"/>
      <c r="E45" s="219"/>
      <c r="F45" s="219"/>
      <c r="G45" s="219"/>
      <c r="H45" s="219"/>
      <c r="I45" s="219"/>
      <c r="J45" s="219"/>
      <c r="K45" s="220"/>
    </row>
    <row r="46" spans="2:22" x14ac:dyDescent="0.3">
      <c r="B46" s="114" t="s">
        <v>192</v>
      </c>
      <c r="C46" s="54"/>
      <c r="D46" s="218"/>
      <c r="E46" s="219"/>
      <c r="F46" s="219"/>
      <c r="G46" s="219"/>
      <c r="H46" s="219"/>
      <c r="I46" s="219"/>
      <c r="J46" s="219"/>
      <c r="K46" s="220"/>
    </row>
    <row r="47" spans="2:22" x14ac:dyDescent="0.3">
      <c r="B47" s="114" t="s">
        <v>193</v>
      </c>
      <c r="C47" s="54"/>
      <c r="D47" s="218"/>
      <c r="E47" s="219"/>
      <c r="F47" s="219"/>
      <c r="G47" s="219"/>
      <c r="H47" s="219"/>
      <c r="I47" s="219"/>
      <c r="J47" s="219"/>
      <c r="K47" s="220"/>
    </row>
    <row r="48" spans="2:22" x14ac:dyDescent="0.3">
      <c r="B48" s="114" t="s">
        <v>194</v>
      </c>
      <c r="C48" s="54"/>
      <c r="D48" s="113"/>
      <c r="E48" s="115"/>
      <c r="F48" s="115"/>
      <c r="G48" s="115"/>
      <c r="H48" s="115"/>
      <c r="I48" s="115"/>
      <c r="J48" s="115"/>
      <c r="K48" s="116"/>
    </row>
    <row r="49" spans="2:11" x14ac:dyDescent="0.3">
      <c r="B49" s="114" t="s">
        <v>195</v>
      </c>
      <c r="C49" s="54"/>
      <c r="D49" s="113"/>
      <c r="E49" s="115"/>
      <c r="F49" s="115"/>
      <c r="G49" s="115"/>
      <c r="H49" s="115"/>
      <c r="I49" s="115"/>
      <c r="J49" s="115"/>
      <c r="K49" s="116"/>
    </row>
    <row r="50" spans="2:11" x14ac:dyDescent="0.3">
      <c r="B50" s="114" t="s">
        <v>196</v>
      </c>
      <c r="C50" s="54"/>
      <c r="D50" s="113"/>
      <c r="E50" s="115"/>
      <c r="F50" s="115"/>
      <c r="G50" s="115"/>
      <c r="H50" s="115"/>
      <c r="I50" s="115"/>
      <c r="J50" s="115"/>
      <c r="K50" s="116"/>
    </row>
    <row r="51" spans="2:11" x14ac:dyDescent="0.3">
      <c r="B51" s="112" t="s">
        <v>197</v>
      </c>
      <c r="C51" s="54"/>
      <c r="D51" s="218"/>
      <c r="E51" s="219"/>
      <c r="F51" s="219"/>
      <c r="G51" s="219"/>
      <c r="H51" s="219"/>
      <c r="I51" s="219"/>
      <c r="J51" s="219"/>
      <c r="K51" s="220"/>
    </row>
    <row r="52" spans="2:11" x14ac:dyDescent="0.3">
      <c r="B52" s="164" t="s">
        <v>198</v>
      </c>
      <c r="C52" s="54"/>
      <c r="D52" s="218"/>
      <c r="E52" s="219"/>
      <c r="F52" s="219"/>
      <c r="G52" s="219"/>
      <c r="H52" s="219"/>
      <c r="I52" s="219"/>
      <c r="J52" s="219"/>
      <c r="K52" s="220"/>
    </row>
    <row r="53" spans="2:11" x14ac:dyDescent="0.3">
      <c r="B53" s="117"/>
      <c r="C53" s="102"/>
      <c r="D53" s="102"/>
      <c r="E53" s="102"/>
      <c r="F53" s="102"/>
      <c r="G53" s="102"/>
      <c r="H53" s="102"/>
      <c r="I53" s="102"/>
      <c r="J53" s="102"/>
      <c r="K53" s="102"/>
    </row>
    <row r="54" spans="2:11" x14ac:dyDescent="0.3">
      <c r="B54" s="103" t="s">
        <v>199</v>
      </c>
      <c r="C54" s="104"/>
      <c r="D54" s="104"/>
      <c r="E54" s="104"/>
      <c r="F54" s="104"/>
      <c r="G54" s="104"/>
      <c r="H54" s="104"/>
      <c r="I54" s="104"/>
      <c r="J54" s="104"/>
      <c r="K54" s="104"/>
    </row>
    <row r="55" spans="2:11" x14ac:dyDescent="0.3">
      <c r="B55" s="41" t="s">
        <v>200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 x14ac:dyDescent="0.3">
      <c r="B56" s="118"/>
      <c r="C56" s="119" t="s">
        <v>201</v>
      </c>
      <c r="D56" s="120" t="s">
        <v>153</v>
      </c>
      <c r="E56" s="121" t="s">
        <v>152</v>
      </c>
      <c r="F56" s="106" t="s">
        <v>126</v>
      </c>
      <c r="G56" s="122"/>
      <c r="H56" s="122"/>
      <c r="I56" s="122"/>
      <c r="J56" s="122"/>
      <c r="K56" s="122"/>
    </row>
    <row r="57" spans="2:11" x14ac:dyDescent="0.3">
      <c r="B57" s="53" t="s">
        <v>202</v>
      </c>
      <c r="C57" s="54">
        <v>65</v>
      </c>
      <c r="D57" s="54">
        <v>65</v>
      </c>
      <c r="E57" s="123" t="str">
        <f>IFERROR(IF(C57-D57&lt;&gt;0,"correct data",""), 0)</f>
        <v/>
      </c>
      <c r="F57" s="218"/>
      <c r="G57" s="219"/>
      <c r="H57" s="219"/>
      <c r="I57" s="219"/>
      <c r="J57" s="219"/>
      <c r="K57" s="220"/>
    </row>
    <row r="58" spans="2:11" x14ac:dyDescent="0.3">
      <c r="B58" s="53" t="s">
        <v>203</v>
      </c>
      <c r="C58" s="124">
        <f>IFERROR(C57/C67,"")</f>
        <v>0.73863636363636365</v>
      </c>
      <c r="D58" s="124">
        <f>IFERROR(D57/D67,"")</f>
        <v>0.73863636363636365</v>
      </c>
      <c r="E58" s="123"/>
      <c r="F58" s="125"/>
      <c r="G58" s="126"/>
      <c r="H58" s="126"/>
      <c r="I58" s="126"/>
      <c r="J58" s="126"/>
      <c r="K58" s="126"/>
    </row>
    <row r="59" spans="2:11" x14ac:dyDescent="0.3">
      <c r="B59" s="53" t="s">
        <v>204</v>
      </c>
      <c r="C59" s="54">
        <v>18</v>
      </c>
      <c r="D59" s="54">
        <v>18</v>
      </c>
      <c r="E59" s="123" t="str">
        <f>IFERROR(IF(C59-D59&lt;&gt;0,"correct data",""), 0)</f>
        <v/>
      </c>
      <c r="F59" s="218"/>
      <c r="G59" s="219"/>
      <c r="H59" s="219"/>
      <c r="I59" s="219"/>
      <c r="J59" s="219"/>
      <c r="K59" s="220"/>
    </row>
    <row r="60" spans="2:11" x14ac:dyDescent="0.3">
      <c r="B60" s="53" t="s">
        <v>205</v>
      </c>
      <c r="C60" s="124">
        <f>IFERROR(C59/C67,"")</f>
        <v>0.20454545454545456</v>
      </c>
      <c r="D60" s="124">
        <f>IFERROR(D59/D67,"")</f>
        <v>0.20454545454545456</v>
      </c>
      <c r="E60" s="123"/>
      <c r="F60" s="125"/>
      <c r="G60" s="126"/>
      <c r="H60" s="126"/>
      <c r="I60" s="126"/>
      <c r="J60" s="126"/>
      <c r="K60" s="126"/>
    </row>
    <row r="61" spans="2:11" x14ac:dyDescent="0.3">
      <c r="B61" s="53" t="s">
        <v>206</v>
      </c>
      <c r="C61" s="54">
        <v>1</v>
      </c>
      <c r="D61" s="54">
        <v>1</v>
      </c>
      <c r="E61" s="123" t="str">
        <f>IFERROR(IF(C61-D61&lt;&gt;0,"correct data",""), 0)</f>
        <v/>
      </c>
      <c r="F61" s="218"/>
      <c r="G61" s="219"/>
      <c r="H61" s="219"/>
      <c r="I61" s="219"/>
      <c r="J61" s="219"/>
      <c r="K61" s="220"/>
    </row>
    <row r="62" spans="2:11" x14ac:dyDescent="0.3">
      <c r="B62" s="53" t="s">
        <v>207</v>
      </c>
      <c r="C62" s="124">
        <f>IFERROR(C61/C67,"")</f>
        <v>1.1363636363636364E-2</v>
      </c>
      <c r="D62" s="124">
        <f>IFERROR(D61/D67,"")</f>
        <v>1.1363636363636364E-2</v>
      </c>
      <c r="E62" s="123"/>
      <c r="F62" s="127"/>
      <c r="G62" s="128"/>
      <c r="H62" s="128"/>
      <c r="I62" s="128"/>
      <c r="J62" s="128"/>
      <c r="K62" s="128"/>
    </row>
    <row r="63" spans="2:11" x14ac:dyDescent="0.3">
      <c r="B63" s="53" t="s">
        <v>208</v>
      </c>
      <c r="C63" s="54">
        <v>4</v>
      </c>
      <c r="D63" s="54">
        <v>4</v>
      </c>
      <c r="E63" s="123" t="str">
        <f>IFERROR(IF(C63-D63&lt;&gt;0,"correct data",""), 0)</f>
        <v/>
      </c>
      <c r="F63" s="218"/>
      <c r="G63" s="219"/>
      <c r="H63" s="219"/>
      <c r="I63" s="219"/>
      <c r="J63" s="219"/>
      <c r="K63" s="220"/>
    </row>
    <row r="64" spans="2:11" x14ac:dyDescent="0.3">
      <c r="B64" s="53" t="s">
        <v>209</v>
      </c>
      <c r="C64" s="124">
        <f>IFERROR(C63/C67,"")</f>
        <v>4.5454545454545456E-2</v>
      </c>
      <c r="D64" s="124">
        <f>IFERROR(D63/D67,"")</f>
        <v>4.5454545454545456E-2</v>
      </c>
      <c r="E64" s="123"/>
      <c r="F64" s="127"/>
      <c r="G64" s="128"/>
      <c r="H64" s="128"/>
      <c r="I64" s="128"/>
      <c r="J64" s="128"/>
      <c r="K64" s="128"/>
    </row>
    <row r="65" spans="2:11" x14ac:dyDescent="0.3">
      <c r="B65" s="53" t="s">
        <v>210</v>
      </c>
      <c r="C65" s="54">
        <v>0</v>
      </c>
      <c r="D65" s="54">
        <v>0</v>
      </c>
      <c r="E65" s="123" t="str">
        <f>IFERROR(IF(C65-D65&lt;&gt;0,"correct data",""), 0)</f>
        <v/>
      </c>
      <c r="F65" s="218"/>
      <c r="G65" s="219"/>
      <c r="H65" s="219"/>
      <c r="I65" s="219"/>
      <c r="J65" s="219"/>
      <c r="K65" s="220"/>
    </row>
    <row r="66" spans="2:11" x14ac:dyDescent="0.3">
      <c r="B66" s="53" t="s">
        <v>211</v>
      </c>
      <c r="C66" s="124">
        <f>IFERROR(C65/C67,"")</f>
        <v>0</v>
      </c>
      <c r="D66" s="124">
        <f>IFERROR(D65/D67,"")</f>
        <v>0</v>
      </c>
      <c r="E66" s="123"/>
      <c r="F66" s="127"/>
      <c r="G66" s="128"/>
      <c r="H66" s="128"/>
      <c r="I66" s="128"/>
      <c r="J66" s="128"/>
      <c r="K66" s="128"/>
    </row>
    <row r="67" spans="2:11" s="139" customFormat="1" x14ac:dyDescent="0.3">
      <c r="B67" s="135" t="s">
        <v>212</v>
      </c>
      <c r="C67" s="140">
        <f>C65+C63+C61+C59+C57</f>
        <v>88</v>
      </c>
      <c r="D67" s="140">
        <f>D65+D63+D61+D59+D57</f>
        <v>88</v>
      </c>
      <c r="E67" s="136"/>
      <c r="F67" s="137"/>
      <c r="G67" s="138"/>
      <c r="H67" s="138"/>
      <c r="I67" s="138"/>
      <c r="J67" s="138"/>
      <c r="K67" s="138"/>
    </row>
    <row r="68" spans="2:11" x14ac:dyDescent="0.3">
      <c r="B68" s="53" t="s">
        <v>213</v>
      </c>
      <c r="C68" s="54">
        <v>2</v>
      </c>
      <c r="D68" s="54">
        <v>2</v>
      </c>
      <c r="E68" s="123" t="str">
        <f>IFERROR(IF(C68-D68&lt;&gt;0,"correct data",""), 0)</f>
        <v/>
      </c>
      <c r="F68" s="221"/>
      <c r="G68" s="222"/>
      <c r="H68" s="222"/>
      <c r="I68" s="222"/>
      <c r="J68" s="222"/>
      <c r="K68" s="223"/>
    </row>
    <row r="69" spans="2:11" x14ac:dyDescent="0.3">
      <c r="B69" s="53" t="s">
        <v>214</v>
      </c>
      <c r="C69" s="124">
        <f>IFERROR(C68/C72,"")</f>
        <v>2.2222222222222223E-2</v>
      </c>
      <c r="D69" s="124">
        <f>IFERROR(D68/D72,"")</f>
        <v>2.2222222222222223E-2</v>
      </c>
      <c r="E69" s="123"/>
      <c r="F69" s="127"/>
      <c r="G69" s="128"/>
      <c r="H69" s="128"/>
      <c r="I69" s="128"/>
      <c r="J69" s="128"/>
      <c r="K69" s="128"/>
    </row>
    <row r="70" spans="2:11" x14ac:dyDescent="0.3">
      <c r="B70" s="53" t="s">
        <v>215</v>
      </c>
      <c r="C70" s="54">
        <v>0</v>
      </c>
      <c r="D70" s="54">
        <v>0</v>
      </c>
      <c r="E70" s="123" t="str">
        <f>IFERROR(IF(C70-D70&lt;&gt;0,"correct data",""), 0)</f>
        <v/>
      </c>
      <c r="F70" s="212"/>
      <c r="G70" s="213"/>
      <c r="H70" s="213"/>
      <c r="I70" s="213"/>
      <c r="J70" s="213"/>
      <c r="K70" s="214"/>
    </row>
    <row r="71" spans="2:11" x14ac:dyDescent="0.3">
      <c r="B71" s="53" t="s">
        <v>216</v>
      </c>
      <c r="C71" s="54">
        <v>0</v>
      </c>
      <c r="D71" s="54">
        <v>0</v>
      </c>
      <c r="E71" s="123" t="str">
        <f>IFERROR(IF(C71-D71&lt;&gt;0,"correct data",""), 0)</f>
        <v/>
      </c>
      <c r="F71" s="215"/>
      <c r="G71" s="216"/>
      <c r="H71" s="216"/>
      <c r="I71" s="216"/>
      <c r="J71" s="216"/>
      <c r="K71" s="217"/>
    </row>
    <row r="72" spans="2:11" x14ac:dyDescent="0.3">
      <c r="B72" s="53" t="s">
        <v>217</v>
      </c>
      <c r="C72" s="123">
        <f>C71+C70+C68+C63+C61+C59+C57+C65</f>
        <v>90</v>
      </c>
      <c r="D72" s="123">
        <f>D71+D70+D68+D63+D61+D59+D57+D65</f>
        <v>90</v>
      </c>
      <c r="E72" s="123" t="str">
        <f>IFERROR(IF(C72-D72&lt;&gt;0,"correct data",""), 0)</f>
        <v/>
      </c>
      <c r="F72" s="127"/>
      <c r="G72" s="128"/>
      <c r="H72" s="128"/>
      <c r="I72" s="128"/>
      <c r="J72" s="128"/>
      <c r="K72" s="128"/>
    </row>
    <row r="73" spans="2:11" x14ac:dyDescent="0.3">
      <c r="B73" s="53" t="s">
        <v>218</v>
      </c>
      <c r="C73" s="54">
        <v>0</v>
      </c>
      <c r="D73" s="54">
        <v>0</v>
      </c>
      <c r="E73" s="123" t="str">
        <f>IFERROR(IF(C73-D73&lt;&gt;0,"correct data",""), 0)</f>
        <v/>
      </c>
      <c r="F73" s="129"/>
      <c r="G73" s="130"/>
      <c r="H73" s="130"/>
      <c r="I73" s="130"/>
      <c r="J73" s="130"/>
      <c r="K73" s="131"/>
    </row>
    <row r="74" spans="2:11" x14ac:dyDescent="0.3">
      <c r="B74" s="132"/>
      <c r="C74" s="123"/>
      <c r="D74" s="123"/>
      <c r="E74" s="123"/>
      <c r="F74" s="133"/>
      <c r="G74" s="134"/>
      <c r="H74" s="134"/>
      <c r="I74" s="134"/>
      <c r="J74" s="134"/>
      <c r="K74" s="134"/>
    </row>
    <row r="75" spans="2:11" x14ac:dyDescent="0.3">
      <c r="B75" s="29" t="s">
        <v>219</v>
      </c>
      <c r="C75" s="6"/>
      <c r="D75" s="208"/>
      <c r="E75" s="208"/>
      <c r="F75" s="208"/>
      <c r="G75" s="208"/>
      <c r="H75" s="208"/>
      <c r="I75" s="208"/>
      <c r="J75" s="208"/>
      <c r="K75" s="208"/>
    </row>
    <row r="76" spans="2:11" x14ac:dyDescent="0.3">
      <c r="B76" s="168" t="s">
        <v>220</v>
      </c>
      <c r="C76" s="167" t="s">
        <v>221</v>
      </c>
      <c r="D76" s="209" t="s">
        <v>126</v>
      </c>
      <c r="E76" s="210"/>
      <c r="F76" s="210"/>
      <c r="G76" s="210"/>
      <c r="H76" s="210"/>
      <c r="I76" s="210"/>
      <c r="J76" s="210"/>
      <c r="K76" s="211"/>
    </row>
    <row r="77" spans="2:11" x14ac:dyDescent="0.3">
      <c r="B77" s="53" t="s">
        <v>222</v>
      </c>
      <c r="C77" s="194"/>
      <c r="D77" s="195"/>
      <c r="E77" s="196"/>
      <c r="F77" s="196"/>
      <c r="G77" s="196"/>
      <c r="H77" s="196"/>
      <c r="I77" s="196"/>
      <c r="J77" s="196"/>
      <c r="K77" s="197"/>
    </row>
    <row r="78" spans="2:11" x14ac:dyDescent="0.3">
      <c r="B78" s="53" t="s">
        <v>223</v>
      </c>
      <c r="C78" s="198"/>
      <c r="D78" s="205"/>
      <c r="E78" s="206"/>
      <c r="F78" s="206"/>
      <c r="G78" s="206"/>
      <c r="H78" s="206"/>
      <c r="I78" s="206"/>
      <c r="J78" s="206"/>
      <c r="K78" s="207"/>
    </row>
    <row r="79" spans="2:11" x14ac:dyDescent="0.3">
      <c r="B79" s="53" t="s">
        <v>224</v>
      </c>
      <c r="C79" s="198"/>
      <c r="D79" s="205"/>
      <c r="E79" s="206"/>
      <c r="F79" s="206"/>
      <c r="G79" s="206"/>
      <c r="H79" s="206"/>
      <c r="I79" s="206"/>
      <c r="J79" s="206"/>
      <c r="K79" s="207"/>
    </row>
    <row r="80" spans="2:11" x14ac:dyDescent="0.3">
      <c r="B80" s="53" t="s">
        <v>225</v>
      </c>
      <c r="C80" s="198"/>
      <c r="D80" s="205"/>
      <c r="E80" s="206"/>
      <c r="F80" s="206"/>
      <c r="G80" s="206"/>
      <c r="H80" s="206"/>
      <c r="I80" s="206"/>
      <c r="J80" s="206"/>
      <c r="K80" s="207"/>
    </row>
    <row r="81" spans="2:11" x14ac:dyDescent="0.3">
      <c r="B81" s="53" t="s">
        <v>226</v>
      </c>
      <c r="C81" s="198"/>
      <c r="D81" s="205"/>
      <c r="E81" s="206"/>
      <c r="F81" s="206"/>
      <c r="G81" s="206"/>
      <c r="H81" s="206"/>
      <c r="I81" s="206"/>
      <c r="J81" s="206"/>
      <c r="K81" s="207"/>
    </row>
  </sheetData>
  <sheetProtection algorithmName="SHA-512" hashValue="7YM5A3SuwI8oE+229ktWXmsZYO3XB4tPCYwtVEbaanJoh+IC4+qTG4HOgan4S69//P/ZN+KsKX7lpaPSkNp2pw==" saltValue="wQFqXP0il8oWGZg6CekbZg==" spinCount="100000" sheet="1" objects="1" scenarios="1"/>
  <mergeCells count="28">
    <mergeCell ref="D52:K52"/>
    <mergeCell ref="D51:K51"/>
    <mergeCell ref="B10:B11"/>
    <mergeCell ref="C10:D10"/>
    <mergeCell ref="E10:F10"/>
    <mergeCell ref="I10:J10"/>
    <mergeCell ref="C30:D30"/>
    <mergeCell ref="E30:F30"/>
    <mergeCell ref="I30:J30"/>
    <mergeCell ref="D43:K43"/>
    <mergeCell ref="D44:K44"/>
    <mergeCell ref="D45:K45"/>
    <mergeCell ref="D46:K46"/>
    <mergeCell ref="D47:K47"/>
    <mergeCell ref="F70:K70"/>
    <mergeCell ref="F71:K71"/>
    <mergeCell ref="F57:K57"/>
    <mergeCell ref="F59:K59"/>
    <mergeCell ref="F61:K61"/>
    <mergeCell ref="F63:K63"/>
    <mergeCell ref="F65:K65"/>
    <mergeCell ref="F68:K68"/>
    <mergeCell ref="D81:K81"/>
    <mergeCell ref="D75:K75"/>
    <mergeCell ref="D76:K76"/>
    <mergeCell ref="D78:K78"/>
    <mergeCell ref="D79:K79"/>
    <mergeCell ref="D80:K80"/>
  </mergeCells>
  <conditionalFormatting sqref="C28:D28">
    <cfRule type="containsText" dxfId="169" priority="52" operator="containsText" text="update">
      <formula>NOT(ISERROR(SEARCH("update",C28)))</formula>
    </cfRule>
    <cfRule type="containsText" dxfId="168" priority="51" operator="containsText" text="data is correct">
      <formula>NOT(ISERROR(SEARCH("data is correct",C28)))</formula>
    </cfRule>
  </conditionalFormatting>
  <conditionalFormatting sqref="C58:D58">
    <cfRule type="cellIs" dxfId="167" priority="10" operator="lessThan">
      <formula>0.895</formula>
    </cfRule>
    <cfRule type="cellIs" dxfId="166" priority="11" operator="greaterThan">
      <formula>0.89544</formula>
    </cfRule>
  </conditionalFormatting>
  <conditionalFormatting sqref="C14:F14">
    <cfRule type="cellIs" dxfId="165" priority="50" operator="greaterThan">
      <formula>0.945</formula>
    </cfRule>
    <cfRule type="cellIs" dxfId="164" priority="49" operator="between">
      <formula>0.75</formula>
      <formula>0.9444</formula>
    </cfRule>
    <cfRule type="cellIs" dxfId="163" priority="48" operator="lessThan">
      <formula>0.75</formula>
    </cfRule>
    <cfRule type="cellIs" dxfId="162" priority="47" operator="equal">
      <formula>"N/A"</formula>
    </cfRule>
  </conditionalFormatting>
  <conditionalFormatting sqref="C16:F16">
    <cfRule type="containsText" dxfId="161" priority="46" operator="containsText" text="N/A">
      <formula>NOT(ISERROR(SEARCH("N/A",C16)))</formula>
    </cfRule>
  </conditionalFormatting>
  <conditionalFormatting sqref="C21:F21 I21:J21">
    <cfRule type="containsText" dxfId="160" priority="86" operator="containsText" text="N/A">
      <formula>NOT(ISERROR(SEARCH("N/A",C21)))</formula>
    </cfRule>
  </conditionalFormatting>
  <conditionalFormatting sqref="C23:F23">
    <cfRule type="cellIs" dxfId="159" priority="45" operator="greaterThan">
      <formula>0.985</formula>
    </cfRule>
    <cfRule type="cellIs" dxfId="158" priority="42" operator="equal">
      <formula>"N/A"</formula>
    </cfRule>
    <cfRule type="cellIs" dxfId="157" priority="43" operator="lessThan">
      <formula>0.85</formula>
    </cfRule>
    <cfRule type="cellIs" dxfId="156" priority="44" operator="between">
      <formula>0.85</formula>
      <formula>0.984444</formula>
    </cfRule>
  </conditionalFormatting>
  <conditionalFormatting sqref="C25:F25">
    <cfRule type="cellIs" dxfId="155" priority="40" operator="equal">
      <formula>"N/A"</formula>
    </cfRule>
    <cfRule type="cellIs" dxfId="154" priority="41" operator="greaterThan">
      <formula>0</formula>
    </cfRule>
  </conditionalFormatting>
  <conditionalFormatting sqref="C34:F34">
    <cfRule type="cellIs" dxfId="153" priority="74" operator="greaterThan">
      <formula>0.985</formula>
    </cfRule>
    <cfRule type="cellIs" dxfId="152" priority="73" operator="between">
      <formula>0.85</formula>
      <formula>0.984444</formula>
    </cfRule>
    <cfRule type="cellIs" dxfId="151" priority="72" operator="lessThan">
      <formula>0.85</formula>
    </cfRule>
    <cfRule type="cellIs" dxfId="150" priority="71" operator="equal">
      <formula>"N/A"</formula>
    </cfRule>
  </conditionalFormatting>
  <conditionalFormatting sqref="C38:F38">
    <cfRule type="cellIs" dxfId="149" priority="24" operator="equal">
      <formula>"N/A"</formula>
    </cfRule>
    <cfRule type="cellIs" dxfId="148" priority="25" operator="lessThan">
      <formula>0.85</formula>
    </cfRule>
    <cfRule type="cellIs" dxfId="147" priority="26" operator="between">
      <formula>0.85</formula>
      <formula>0.984444</formula>
    </cfRule>
    <cfRule type="cellIs" dxfId="146" priority="27" operator="greaterThan">
      <formula>0.985</formula>
    </cfRule>
  </conditionalFormatting>
  <conditionalFormatting sqref="E57 E59 E61 E63 E68 E70:E73">
    <cfRule type="cellIs" dxfId="145" priority="7" operator="equal">
      <formula>0</formula>
    </cfRule>
    <cfRule type="containsText" dxfId="144" priority="8" operator="containsText" text="&quot;&quot;">
      <formula>NOT(ISERROR(SEARCH("""""",E57)))</formula>
    </cfRule>
    <cfRule type="containsText" dxfId="143" priority="9" operator="containsText" text="correct data">
      <formula>NOT(ISERROR(SEARCH("correct data",E57)))</formula>
    </cfRule>
  </conditionalFormatting>
  <conditionalFormatting sqref="E65">
    <cfRule type="containsText" dxfId="142" priority="2" operator="containsText" text="&quot;&quot;">
      <formula>NOT(ISERROR(SEARCH("""""",E65)))</formula>
    </cfRule>
    <cfRule type="containsText" dxfId="141" priority="3" operator="containsText" text="correct data">
      <formula>NOT(ISERROR(SEARCH("correct data",E65)))</formula>
    </cfRule>
    <cfRule type="cellIs" dxfId="140" priority="1" operator="equal">
      <formula>0</formula>
    </cfRule>
  </conditionalFormatting>
  <conditionalFormatting sqref="G12:H13 G15:H15 G17:H20 G22:H22 G24:H24">
    <cfRule type="containsText" dxfId="139" priority="38" operator="containsText" text="data is correct">
      <formula>NOT(ISERROR(SEARCH("data is correct",G12)))</formula>
    </cfRule>
    <cfRule type="containsText" dxfId="138" priority="39" operator="containsText" text="correct data">
      <formula>NOT(ISERROR(SEARCH("correct data",G12)))</formula>
    </cfRule>
  </conditionalFormatting>
  <conditionalFormatting sqref="G32:H33">
    <cfRule type="containsText" dxfId="137" priority="36" operator="containsText" text="data is correct">
      <formula>NOT(ISERROR(SEARCH("data is correct",G32)))</formula>
    </cfRule>
    <cfRule type="containsText" dxfId="136" priority="37" operator="containsText" text="correct data">
      <formula>NOT(ISERROR(SEARCH("correct data",G32)))</formula>
    </cfRule>
  </conditionalFormatting>
  <conditionalFormatting sqref="G36:H37">
    <cfRule type="containsText" dxfId="135" priority="19" operator="containsText" text="correct data">
      <formula>NOT(ISERROR(SEARCH("correct data",G36)))</formula>
    </cfRule>
    <cfRule type="containsText" dxfId="134" priority="18" operator="containsText" text="data is correct">
      <formula>NOT(ISERROR(SEARCH("data is correct",G36)))</formula>
    </cfRule>
  </conditionalFormatting>
  <conditionalFormatting sqref="I14:J14">
    <cfRule type="cellIs" dxfId="133" priority="85" operator="greaterThan">
      <formula>0.945</formula>
    </cfRule>
    <cfRule type="cellIs" dxfId="132" priority="84" operator="between">
      <formula>0.75</formula>
      <formula>0.9444</formula>
    </cfRule>
    <cfRule type="cellIs" dxfId="131" priority="83" operator="lessThan">
      <formula>0.75</formula>
    </cfRule>
    <cfRule type="cellIs" dxfId="130" priority="82" operator="equal">
      <formula>"N/A"</formula>
    </cfRule>
  </conditionalFormatting>
  <conditionalFormatting sqref="I16:J16">
    <cfRule type="containsText" dxfId="129" priority="81" operator="containsText" text="N/A">
      <formula>NOT(ISERROR(SEARCH("N/A",I16)))</formula>
    </cfRule>
  </conditionalFormatting>
  <conditionalFormatting sqref="I23:J23">
    <cfRule type="cellIs" dxfId="128" priority="80" operator="greaterThan">
      <formula>0.985</formula>
    </cfRule>
    <cfRule type="cellIs" dxfId="127" priority="79" operator="between">
      <formula>0.85</formula>
      <formula>0.984444</formula>
    </cfRule>
    <cfRule type="cellIs" dxfId="126" priority="77" operator="equal">
      <formula>"N/A"</formula>
    </cfRule>
    <cfRule type="cellIs" dxfId="125" priority="78" operator="lessThan">
      <formula>0.85</formula>
    </cfRule>
  </conditionalFormatting>
  <conditionalFormatting sqref="I25:J25">
    <cfRule type="cellIs" dxfId="124" priority="76" operator="greaterThan">
      <formula>0</formula>
    </cfRule>
    <cfRule type="cellIs" dxfId="123" priority="75" operator="equal">
      <formula>"N/A"</formula>
    </cfRule>
  </conditionalFormatting>
  <conditionalFormatting sqref="I34:J34">
    <cfRule type="cellIs" dxfId="122" priority="55" operator="equal">
      <formula>"N/A"</formula>
    </cfRule>
    <cfRule type="cellIs" dxfId="121" priority="56" operator="lessThan">
      <formula>0.85</formula>
    </cfRule>
    <cfRule type="cellIs" dxfId="120" priority="57" operator="between">
      <formula>0.85</formula>
      <formula>0.984444</formula>
    </cfRule>
    <cfRule type="cellIs" dxfId="119" priority="58" operator="greaterThan">
      <formula>0.985</formula>
    </cfRule>
  </conditionalFormatting>
  <conditionalFormatting sqref="I38:J38">
    <cfRule type="cellIs" dxfId="118" priority="22" operator="between">
      <formula>0.85</formula>
      <formula>0.984444</formula>
    </cfRule>
    <cfRule type="cellIs" dxfId="117" priority="20" operator="equal">
      <formula>"N/A"</formula>
    </cfRule>
    <cfRule type="cellIs" dxfId="116" priority="21" operator="lessThan">
      <formula>0.85</formula>
    </cfRule>
    <cfRule type="cellIs" dxfId="115" priority="23" operator="greaterThan">
      <formula>0.985</formula>
    </cfRule>
  </conditionalFormatting>
  <conditionalFormatting sqref="K12:L13 K15:L15 K17:L20 K22:L22 K24:L24">
    <cfRule type="containsText" dxfId="114" priority="53" operator="containsText" text="data is correct">
      <formula>NOT(ISERROR(SEARCH("data is correct",K12)))</formula>
    </cfRule>
    <cfRule type="containsText" dxfId="113" priority="54" operator="containsText" text="correct data">
      <formula>NOT(ISERROR(SEARCH("correct data",K12)))</formula>
    </cfRule>
  </conditionalFormatting>
  <conditionalFormatting sqref="K36:L37">
    <cfRule type="containsText" dxfId="112" priority="28" operator="containsText" text="data is correct">
      <formula>NOT(ISERROR(SEARCH("data is correct",K36)))</formula>
    </cfRule>
    <cfRule type="containsText" dxfId="111" priority="29" operator="containsText" text="correct data">
      <formula>NOT(ISERROR(SEARCH("correct data",K36)))</formula>
    </cfRule>
  </conditionalFormatting>
  <conditionalFormatting sqref="M14:N14">
    <cfRule type="cellIs" dxfId="110" priority="69" operator="between">
      <formula>0.75</formula>
      <formula>0.9444</formula>
    </cfRule>
    <cfRule type="cellIs" dxfId="109" priority="67" operator="equal">
      <formula>"N/A"</formula>
    </cfRule>
    <cfRule type="cellIs" dxfId="108" priority="70" operator="greaterThan">
      <formula>0.945</formula>
    </cfRule>
    <cfRule type="cellIs" dxfId="107" priority="68" operator="lessThan">
      <formula>0.75</formula>
    </cfRule>
  </conditionalFormatting>
  <conditionalFormatting sqref="M16:N16">
    <cfRule type="containsText" dxfId="106" priority="66" operator="containsText" text="N/A">
      <formula>NOT(ISERROR(SEARCH("N/A",M16)))</formula>
    </cfRule>
  </conditionalFormatting>
  <conditionalFormatting sqref="M21:N21">
    <cfRule type="containsText" dxfId="105" priority="65" operator="containsText" text="N/A">
      <formula>NOT(ISERROR(SEARCH("N/A",M21)))</formula>
    </cfRule>
  </conditionalFormatting>
  <conditionalFormatting sqref="M23:N23">
    <cfRule type="cellIs" dxfId="104" priority="64" operator="greaterThan">
      <formula>0.985</formula>
    </cfRule>
    <cfRule type="cellIs" dxfId="103" priority="62" operator="lessThan">
      <formula>0.85</formula>
    </cfRule>
    <cfRule type="cellIs" dxfId="102" priority="63" operator="between">
      <formula>0.85</formula>
      <formula>0.984444</formula>
    </cfRule>
    <cfRule type="cellIs" dxfId="101" priority="61" operator="equal">
      <formula>"N/A"</formula>
    </cfRule>
  </conditionalFormatting>
  <conditionalFormatting sqref="M25:N25">
    <cfRule type="cellIs" dxfId="100" priority="60" operator="greaterThan">
      <formula>0</formula>
    </cfRule>
    <cfRule type="cellIs" dxfId="99" priority="59" operator="equal">
      <formula>"N/A"</formula>
    </cfRule>
  </conditionalFormatting>
  <conditionalFormatting sqref="M34:N34">
    <cfRule type="cellIs" dxfId="98" priority="30" operator="equal">
      <formula>"N/A"</formula>
    </cfRule>
    <cfRule type="cellIs" dxfId="97" priority="31" operator="lessThan">
      <formula>0.85</formula>
    </cfRule>
    <cfRule type="cellIs" dxfId="96" priority="33" operator="greaterThan">
      <formula>0.985</formula>
    </cfRule>
    <cfRule type="cellIs" dxfId="95" priority="32" operator="between">
      <formula>0.85</formula>
      <formula>0.984444</formula>
    </cfRule>
  </conditionalFormatting>
  <conditionalFormatting sqref="M38:N38">
    <cfRule type="cellIs" dxfId="94" priority="14" operator="between">
      <formula>0.85</formula>
      <formula>0.984444</formula>
    </cfRule>
    <cfRule type="cellIs" dxfId="93" priority="12" operator="equal">
      <formula>"N/A"</formula>
    </cfRule>
    <cfRule type="cellIs" dxfId="92" priority="15" operator="greaterThan">
      <formula>0.985</formula>
    </cfRule>
    <cfRule type="cellIs" dxfId="91" priority="13" operator="lessThan">
      <formula>0.85</formula>
    </cfRule>
  </conditionalFormatting>
  <conditionalFormatting sqref="O12:P13 O15:P15 O17:P20 O22:P22 O24:P24 K32:L33">
    <cfRule type="containsText" dxfId="90" priority="87" operator="containsText" text="data is correct">
      <formula>NOT(ISERROR(SEARCH("data is correct",K12)))</formula>
    </cfRule>
    <cfRule type="containsText" dxfId="89" priority="88" operator="containsText" text="correct data">
      <formula>NOT(ISERROR(SEARCH("correct data",K12)))</formula>
    </cfRule>
  </conditionalFormatting>
  <conditionalFormatting sqref="O32:P34">
    <cfRule type="containsText" dxfId="88" priority="34" operator="containsText" text="data is correct">
      <formula>NOT(ISERROR(SEARCH("data is correct",O32)))</formula>
    </cfRule>
    <cfRule type="containsText" dxfId="87" priority="35" operator="containsText" text="correct data">
      <formula>NOT(ISERROR(SEARCH("correct data",O32)))</formula>
    </cfRule>
  </conditionalFormatting>
  <conditionalFormatting sqref="O36:P38">
    <cfRule type="containsText" dxfId="86" priority="17" operator="containsText" text="correct data">
      <formula>NOT(ISERROR(SEARCH("correct data",O36)))</formula>
    </cfRule>
    <cfRule type="containsText" dxfId="85" priority="16" operator="containsText" text="data is correct">
      <formula>NOT(ISERROR(SEARCH("data is correct",O36)))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7319-3320-4A99-9829-A2C292F0FE76}">
  <sheetPr>
    <tabColor rgb="FF009999"/>
  </sheetPr>
  <dimension ref="B2:V74"/>
  <sheetViews>
    <sheetView showGridLines="0" zoomScale="90" zoomScaleNormal="90" workbookViewId="0">
      <selection activeCell="I92" sqref="I92"/>
    </sheetView>
  </sheetViews>
  <sheetFormatPr defaultRowHeight="14.4" x14ac:dyDescent="0.3"/>
  <cols>
    <col min="1" max="1" width="5.5546875" customWidth="1"/>
    <col min="2" max="2" width="40.5546875" bestFit="1" customWidth="1"/>
    <col min="3" max="3" width="16.6640625" bestFit="1" customWidth="1"/>
    <col min="4" max="4" width="26.44140625" bestFit="1" customWidth="1"/>
    <col min="5" max="5" width="14.5546875" customWidth="1"/>
    <col min="6" max="6" width="10.6640625" customWidth="1"/>
    <col min="7" max="8" width="12.109375" bestFit="1" customWidth="1"/>
    <col min="9" max="9" width="16.88671875" customWidth="1"/>
    <col min="10" max="10" width="9.5546875" customWidth="1"/>
    <col min="11" max="11" width="12.109375" bestFit="1" customWidth="1"/>
    <col min="12" max="12" width="14.44140625" customWidth="1"/>
    <col min="13" max="13" width="12.6640625" customWidth="1"/>
    <col min="14" max="14" width="11.88671875" customWidth="1"/>
    <col min="15" max="15" width="14.109375" customWidth="1"/>
    <col min="16" max="16" width="12.109375" bestFit="1" customWidth="1"/>
    <col min="17" max="17" width="9.44140625" bestFit="1" customWidth="1"/>
  </cols>
  <sheetData>
    <row r="2" spans="2:22" x14ac:dyDescent="0.3">
      <c r="B2" s="4"/>
      <c r="C2" s="28"/>
      <c r="D2" s="28"/>
      <c r="E2" s="2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2:22" x14ac:dyDescent="0.3">
      <c r="B3" s="29" t="s">
        <v>135</v>
      </c>
      <c r="C3" s="30" t="s">
        <v>119</v>
      </c>
      <c r="D3" s="29" t="s">
        <v>136</v>
      </c>
      <c r="E3" s="30" t="s">
        <v>137</v>
      </c>
      <c r="F3" s="29" t="s">
        <v>138</v>
      </c>
      <c r="G3" s="31" t="s">
        <v>139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2" x14ac:dyDescent="0.3">
      <c r="B4" s="162" t="s">
        <v>140</v>
      </c>
      <c r="C4" s="161" t="s">
        <v>227</v>
      </c>
      <c r="D4" s="162" t="s">
        <v>228</v>
      </c>
      <c r="E4" s="161" t="s">
        <v>229</v>
      </c>
      <c r="F4" s="34"/>
      <c r="G4" s="3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2" x14ac:dyDescent="0.3">
      <c r="B5" s="161" t="s">
        <v>141</v>
      </c>
      <c r="C5" s="165">
        <v>45505</v>
      </c>
      <c r="D5" s="162" t="s">
        <v>230</v>
      </c>
      <c r="E5" s="161" t="s">
        <v>147</v>
      </c>
      <c r="F5" s="162" t="s">
        <v>143</v>
      </c>
      <c r="G5" s="16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2:22" x14ac:dyDescent="0.3">
      <c r="B6" s="161" t="s">
        <v>145</v>
      </c>
      <c r="C6" s="166">
        <v>45444</v>
      </c>
      <c r="D6" s="162" t="s">
        <v>231</v>
      </c>
      <c r="E6" s="161" t="s">
        <v>142</v>
      </c>
      <c r="F6" s="163"/>
      <c r="G6" s="3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2:22" x14ac:dyDescent="0.3">
      <c r="B7" s="39"/>
      <c r="C7" s="40"/>
      <c r="D7" s="40"/>
      <c r="E7" s="2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 x14ac:dyDescent="0.3">
      <c r="B8" s="4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42"/>
    </row>
    <row r="9" spans="2:22" ht="15" thickBot="1" x14ac:dyDescent="0.35">
      <c r="B9" s="29" t="s">
        <v>148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42"/>
    </row>
    <row r="10" spans="2:22" ht="15" thickBot="1" x14ac:dyDescent="0.35">
      <c r="B10" s="224" t="s">
        <v>149</v>
      </c>
      <c r="C10" s="226" t="s">
        <v>150</v>
      </c>
      <c r="D10" s="227"/>
      <c r="E10" s="226" t="s">
        <v>232</v>
      </c>
      <c r="F10" s="227"/>
      <c r="G10" s="45" t="s">
        <v>152</v>
      </c>
      <c r="H10" s="46"/>
      <c r="I10" s="226" t="s">
        <v>153</v>
      </c>
      <c r="J10" s="227"/>
      <c r="K10" s="45" t="s">
        <v>152</v>
      </c>
      <c r="L10" s="46"/>
      <c r="M10" s="43" t="s">
        <v>154</v>
      </c>
      <c r="N10" s="44"/>
      <c r="O10" s="45" t="s">
        <v>152</v>
      </c>
      <c r="P10" s="46"/>
      <c r="Q10" s="47"/>
      <c r="R10" s="47"/>
      <c r="S10" s="47"/>
      <c r="T10" s="47"/>
      <c r="U10" s="47"/>
      <c r="V10" s="48"/>
    </row>
    <row r="11" spans="2:22" x14ac:dyDescent="0.3">
      <c r="B11" s="225"/>
      <c r="C11" s="49" t="s">
        <v>155</v>
      </c>
      <c r="D11" s="49" t="s">
        <v>156</v>
      </c>
      <c r="E11" s="49" t="s">
        <v>155</v>
      </c>
      <c r="F11" s="49" t="s">
        <v>157</v>
      </c>
      <c r="G11" s="50" t="s">
        <v>155</v>
      </c>
      <c r="H11" s="50" t="s">
        <v>157</v>
      </c>
      <c r="I11" s="49" t="s">
        <v>155</v>
      </c>
      <c r="J11" s="49" t="s">
        <v>157</v>
      </c>
      <c r="K11" s="50" t="s">
        <v>155</v>
      </c>
      <c r="L11" s="50" t="s">
        <v>157</v>
      </c>
      <c r="M11" s="49" t="s">
        <v>155</v>
      </c>
      <c r="N11" s="49" t="s">
        <v>157</v>
      </c>
      <c r="O11" s="50" t="s">
        <v>155</v>
      </c>
      <c r="P11" s="50" t="s">
        <v>157</v>
      </c>
      <c r="Q11" s="51" t="s">
        <v>126</v>
      </c>
      <c r="R11" s="51"/>
      <c r="S11" s="51"/>
      <c r="T11" s="51"/>
      <c r="U11" s="51"/>
      <c r="V11" s="52"/>
    </row>
    <row r="12" spans="2:22" x14ac:dyDescent="0.3">
      <c r="B12" s="53" t="s">
        <v>158</v>
      </c>
      <c r="C12" s="54"/>
      <c r="D12" s="54"/>
      <c r="E12" s="54"/>
      <c r="F12" s="54"/>
      <c r="G12" s="55" t="str">
        <f>IF(C12=E12, "data is correct", "correct data")</f>
        <v>data is correct</v>
      </c>
      <c r="H12" s="55" t="str">
        <f>IF(D12=F12, "data is correct", "correct data")</f>
        <v>data is correct</v>
      </c>
      <c r="I12" s="169"/>
      <c r="J12" s="169"/>
      <c r="K12" s="55"/>
      <c r="L12" s="55"/>
      <c r="M12" s="54"/>
      <c r="N12" s="54"/>
      <c r="O12" s="55" t="str">
        <f>IF(E12=M12, "data is correct", "correct data")</f>
        <v>data is correct</v>
      </c>
      <c r="P12" s="55" t="str">
        <f>IF(F12=N12, "data is correct", "correct data")</f>
        <v>data is correct</v>
      </c>
      <c r="Q12" s="57"/>
      <c r="R12" s="57"/>
      <c r="S12" s="57"/>
      <c r="T12" s="57"/>
      <c r="U12" s="57"/>
      <c r="V12" s="58"/>
    </row>
    <row r="13" spans="2:22" x14ac:dyDescent="0.3">
      <c r="B13" s="53" t="s">
        <v>159</v>
      </c>
      <c r="C13" s="54"/>
      <c r="D13" s="54"/>
      <c r="E13" s="54"/>
      <c r="F13" s="54"/>
      <c r="G13" s="55" t="str">
        <f>IF(C13=E13, "data is correct", "correct data")</f>
        <v>data is correct</v>
      </c>
      <c r="H13" s="55" t="str">
        <f>IF(D13=F13, "data is correct", "correct data")</f>
        <v>data is correct</v>
      </c>
      <c r="I13" s="56"/>
      <c r="J13" s="56"/>
      <c r="K13" s="55"/>
      <c r="L13" s="55"/>
      <c r="M13" s="54"/>
      <c r="N13" s="54"/>
      <c r="O13" s="55" t="str">
        <f>IF(E13=M13, "data is correct", "correct data")</f>
        <v>data is correct</v>
      </c>
      <c r="P13" s="55" t="str">
        <f>IF(F13=N13, "data is correct", "correct data")</f>
        <v>data is correct</v>
      </c>
      <c r="Q13" s="59"/>
      <c r="R13" s="59"/>
      <c r="S13" s="59"/>
      <c r="T13" s="59"/>
      <c r="U13" s="59"/>
      <c r="V13" s="60"/>
    </row>
    <row r="14" spans="2:22" x14ac:dyDescent="0.3">
      <c r="B14" s="53" t="s">
        <v>160</v>
      </c>
      <c r="C14" s="61" t="str">
        <f>IFERROR(C13/C12,"N/A")</f>
        <v>N/A</v>
      </c>
      <c r="D14" s="61" t="str">
        <f t="shared" ref="D14" si="0">IFERROR(D13/D12,"N/A")</f>
        <v>N/A</v>
      </c>
      <c r="E14" s="61" t="str">
        <f>IFERROR(E13/E12,"N/A")</f>
        <v>N/A</v>
      </c>
      <c r="F14" s="61" t="str">
        <f t="shared" ref="F14" si="1">IFERROR(F13/F12,"N/A")</f>
        <v>N/A</v>
      </c>
      <c r="G14" s="62"/>
      <c r="H14" s="62"/>
      <c r="I14" s="61" t="str">
        <f>IFERROR(I13/I12,"N/A")</f>
        <v>N/A</v>
      </c>
      <c r="J14" s="61" t="str">
        <f t="shared" ref="J14" si="2">IFERROR(J13/J12,"N/A")</f>
        <v>N/A</v>
      </c>
      <c r="K14" s="62"/>
      <c r="L14" s="62"/>
      <c r="M14" s="61" t="str">
        <f>IFERROR(M13/M12,"N/A")</f>
        <v>N/A</v>
      </c>
      <c r="N14" s="61" t="str">
        <f>IFERROR(N13/N12,"N/A")</f>
        <v>N/A</v>
      </c>
      <c r="O14" s="62"/>
      <c r="P14" s="62"/>
      <c r="Q14" s="59"/>
      <c r="R14" s="59"/>
      <c r="S14" s="59"/>
      <c r="T14" s="59"/>
      <c r="U14" s="59"/>
      <c r="V14" s="60"/>
    </row>
    <row r="15" spans="2:22" x14ac:dyDescent="0.3">
      <c r="B15" s="53" t="s">
        <v>161</v>
      </c>
      <c r="C15" s="54"/>
      <c r="D15" s="54"/>
      <c r="E15" s="54"/>
      <c r="F15" s="54"/>
      <c r="G15" s="55" t="str">
        <f>IF(C15=E15, "data is correct", "correct data")</f>
        <v>data is correct</v>
      </c>
      <c r="H15" s="55" t="str">
        <f>IF(D15=F15, "data is correct", "correct data")</f>
        <v>data is correct</v>
      </c>
      <c r="I15" s="54"/>
      <c r="J15" s="54"/>
      <c r="K15" s="55" t="str">
        <f>IF(E15=I15, "data is correct", "correct data")</f>
        <v>data is correct</v>
      </c>
      <c r="L15" s="55" t="str">
        <f>IF(F15=J15, "data is correct", "correct data")</f>
        <v>data is correct</v>
      </c>
      <c r="M15" s="54"/>
      <c r="N15" s="54"/>
      <c r="O15" s="55" t="str">
        <f>IF(I15=M15, "data is correct", "correct data")</f>
        <v>data is correct</v>
      </c>
      <c r="P15" s="55" t="str">
        <f>IF(J15=N15, "data is correct", "correct data")</f>
        <v>data is correct</v>
      </c>
      <c r="Q15" s="63"/>
      <c r="R15" s="63"/>
      <c r="S15" s="63"/>
      <c r="T15" s="63"/>
      <c r="U15" s="63"/>
      <c r="V15" s="64"/>
    </row>
    <row r="16" spans="2:22" x14ac:dyDescent="0.3">
      <c r="B16" s="53" t="s">
        <v>162</v>
      </c>
      <c r="C16" s="61" t="str">
        <f>IFERROR(C15/C13,"N/A")</f>
        <v>N/A</v>
      </c>
      <c r="D16" s="61" t="str">
        <f>IFERROR(D15/D13,"N/A")</f>
        <v>N/A</v>
      </c>
      <c r="E16" s="61" t="str">
        <f>IFERROR(E15/E13,"N/A")</f>
        <v>N/A</v>
      </c>
      <c r="F16" s="61" t="str">
        <f>IFERROR(F15/F13,"N/A")</f>
        <v>N/A</v>
      </c>
      <c r="G16" s="62"/>
      <c r="H16" s="62"/>
      <c r="I16" s="61" t="str">
        <f>IFERROR(I15/I13,"N/A")</f>
        <v>N/A</v>
      </c>
      <c r="J16" s="61" t="str">
        <f>IFERROR(J15/J13,"N/A")</f>
        <v>N/A</v>
      </c>
      <c r="K16" s="62"/>
      <c r="L16" s="62"/>
      <c r="M16" s="61" t="str">
        <f>IFERROR(M15/M13,"N/A")</f>
        <v>N/A</v>
      </c>
      <c r="N16" s="61" t="str">
        <f>IFERROR(N15/N13,"N/A")</f>
        <v>N/A</v>
      </c>
      <c r="O16" s="62"/>
      <c r="P16" s="62"/>
      <c r="Q16" s="63"/>
      <c r="R16" s="63"/>
      <c r="S16" s="63"/>
      <c r="T16" s="63"/>
      <c r="U16" s="63"/>
      <c r="V16" s="64"/>
    </row>
    <row r="17" spans="2:22" x14ac:dyDescent="0.3">
      <c r="B17" s="53" t="s">
        <v>163</v>
      </c>
      <c r="C17" s="54"/>
      <c r="D17" s="54"/>
      <c r="E17" s="54"/>
      <c r="F17" s="54"/>
      <c r="G17" s="55" t="str">
        <f t="shared" ref="G17:H20" si="3">IF(C17=E17, "data is correct", "correct data")</f>
        <v>data is correct</v>
      </c>
      <c r="H17" s="55" t="str">
        <f t="shared" si="3"/>
        <v>data is correct</v>
      </c>
      <c r="I17" s="54"/>
      <c r="J17" s="54"/>
      <c r="K17" s="55" t="str">
        <f t="shared" ref="K17:L20" si="4">IF(E17=I17, "data is correct", "correct data")</f>
        <v>data is correct</v>
      </c>
      <c r="L17" s="55" t="str">
        <f t="shared" si="4"/>
        <v>data is correct</v>
      </c>
      <c r="M17" s="54"/>
      <c r="N17" s="54"/>
      <c r="O17" s="55" t="str">
        <f t="shared" ref="O17:P20" si="5">IF(I17=M17, "data is correct", "correct data")</f>
        <v>data is correct</v>
      </c>
      <c r="P17" s="55" t="str">
        <f t="shared" si="5"/>
        <v>data is correct</v>
      </c>
      <c r="Q17" s="63"/>
      <c r="R17" s="63"/>
      <c r="S17" s="63"/>
      <c r="T17" s="63"/>
      <c r="U17" s="63"/>
      <c r="V17" s="64"/>
    </row>
    <row r="18" spans="2:22" x14ac:dyDescent="0.3">
      <c r="B18" s="53" t="s">
        <v>164</v>
      </c>
      <c r="C18" s="54"/>
      <c r="D18" s="54"/>
      <c r="E18" s="54"/>
      <c r="F18" s="54"/>
      <c r="G18" s="55" t="str">
        <f t="shared" si="3"/>
        <v>data is correct</v>
      </c>
      <c r="H18" s="55" t="str">
        <f t="shared" si="3"/>
        <v>data is correct</v>
      </c>
      <c r="I18" s="54"/>
      <c r="J18" s="54"/>
      <c r="K18" s="55" t="str">
        <f t="shared" si="4"/>
        <v>data is correct</v>
      </c>
      <c r="L18" s="55" t="str">
        <f t="shared" si="4"/>
        <v>data is correct</v>
      </c>
      <c r="M18" s="54"/>
      <c r="N18" s="54"/>
      <c r="O18" s="55" t="str">
        <f t="shared" si="5"/>
        <v>data is correct</v>
      </c>
      <c r="P18" s="55" t="str">
        <f t="shared" si="5"/>
        <v>data is correct</v>
      </c>
      <c r="Q18" s="63"/>
      <c r="R18" s="63"/>
      <c r="S18" s="63"/>
      <c r="T18" s="63"/>
      <c r="U18" s="63"/>
      <c r="V18" s="64"/>
    </row>
    <row r="19" spans="2:22" x14ac:dyDescent="0.3">
      <c r="B19" s="53" t="s">
        <v>165</v>
      </c>
      <c r="C19" s="54"/>
      <c r="D19" s="54"/>
      <c r="E19" s="54"/>
      <c r="F19" s="54"/>
      <c r="G19" s="55" t="str">
        <f t="shared" si="3"/>
        <v>data is correct</v>
      </c>
      <c r="H19" s="55" t="str">
        <f t="shared" si="3"/>
        <v>data is correct</v>
      </c>
      <c r="I19" s="54"/>
      <c r="J19" s="54"/>
      <c r="K19" s="55" t="str">
        <f t="shared" si="4"/>
        <v>data is correct</v>
      </c>
      <c r="L19" s="55" t="str">
        <f t="shared" si="4"/>
        <v>data is correct</v>
      </c>
      <c r="M19" s="54"/>
      <c r="N19" s="54"/>
      <c r="O19" s="65" t="str">
        <f t="shared" si="5"/>
        <v>data is correct</v>
      </c>
      <c r="P19" s="65" t="str">
        <f t="shared" si="5"/>
        <v>data is correct</v>
      </c>
      <c r="Q19" s="63"/>
      <c r="R19" s="63"/>
      <c r="S19" s="63"/>
      <c r="T19" s="63"/>
      <c r="U19" s="63"/>
      <c r="V19" s="64"/>
    </row>
    <row r="20" spans="2:22" x14ac:dyDescent="0.3">
      <c r="B20" s="53" t="s">
        <v>166</v>
      </c>
      <c r="C20" s="54"/>
      <c r="D20" s="54"/>
      <c r="E20" s="54"/>
      <c r="F20" s="54"/>
      <c r="G20" s="55" t="str">
        <f t="shared" si="3"/>
        <v>data is correct</v>
      </c>
      <c r="H20" s="55" t="str">
        <f t="shared" si="3"/>
        <v>data is correct</v>
      </c>
      <c r="I20" s="54"/>
      <c r="J20" s="54"/>
      <c r="K20" s="55" t="str">
        <f t="shared" si="4"/>
        <v>data is correct</v>
      </c>
      <c r="L20" s="55" t="str">
        <f t="shared" si="4"/>
        <v>data is correct</v>
      </c>
      <c r="M20" s="54"/>
      <c r="N20" s="54"/>
      <c r="O20" s="65" t="str">
        <f t="shared" si="5"/>
        <v>data is correct</v>
      </c>
      <c r="P20" s="65" t="str">
        <f t="shared" si="5"/>
        <v>data is correct</v>
      </c>
      <c r="Q20" s="63"/>
      <c r="R20" s="63"/>
      <c r="S20" s="63"/>
      <c r="T20" s="63"/>
      <c r="U20" s="63"/>
      <c r="V20" s="64"/>
    </row>
    <row r="21" spans="2:22" x14ac:dyDescent="0.3">
      <c r="B21" s="53" t="s">
        <v>167</v>
      </c>
      <c r="C21" s="61" t="str">
        <f>IFERROR((C18+C19)/C15,"N/A")</f>
        <v>N/A</v>
      </c>
      <c r="D21" s="61" t="str">
        <f>IFERROR((D18+D19)/D15,"N/A")</f>
        <v>N/A</v>
      </c>
      <c r="E21" s="61" t="str">
        <f t="shared" ref="E21:F21" si="6">IFERROR((E18+E19)/E15,"N/A")</f>
        <v>N/A</v>
      </c>
      <c r="F21" s="61" t="str">
        <f t="shared" si="6"/>
        <v>N/A</v>
      </c>
      <c r="G21" s="62"/>
      <c r="H21" s="62"/>
      <c r="I21" s="61" t="str">
        <f t="shared" ref="I21:J21" si="7">IFERROR((I18+I19)/I15,"N/A")</f>
        <v>N/A</v>
      </c>
      <c r="J21" s="61" t="str">
        <f t="shared" si="7"/>
        <v>N/A</v>
      </c>
      <c r="K21" s="62"/>
      <c r="L21" s="62"/>
      <c r="M21" s="61" t="str">
        <f>IFERROR((M18+M19)/M15,"N/A")</f>
        <v>N/A</v>
      </c>
      <c r="N21" s="61" t="str">
        <f>IFERROR((N18+N19)/N15,"N/A")</f>
        <v>N/A</v>
      </c>
      <c r="O21" s="62"/>
      <c r="P21" s="62"/>
      <c r="Q21" s="63"/>
      <c r="R21" s="63"/>
      <c r="S21" s="63"/>
      <c r="T21" s="63"/>
      <c r="U21" s="63"/>
      <c r="V21" s="64"/>
    </row>
    <row r="22" spans="2:22" x14ac:dyDescent="0.3">
      <c r="B22" s="53" t="s">
        <v>168</v>
      </c>
      <c r="C22" s="54"/>
      <c r="D22" s="54"/>
      <c r="E22" s="54"/>
      <c r="F22" s="54"/>
      <c r="G22" s="55" t="str">
        <f>IF(C22=E22, "data is correct", "correct data")</f>
        <v>data is correct</v>
      </c>
      <c r="H22" s="55" t="str">
        <f>IF(D22=F22, "data is correct", "correct data")</f>
        <v>data is correct</v>
      </c>
      <c r="I22" s="54"/>
      <c r="J22" s="54"/>
      <c r="K22" s="55" t="str">
        <f>IF(E22=I22, "data is correct", "correct data")</f>
        <v>data is correct</v>
      </c>
      <c r="L22" s="55" t="str">
        <f>IF(F22=J22, "data is correct", "correct data")</f>
        <v>data is correct</v>
      </c>
      <c r="M22" s="54"/>
      <c r="N22" s="54"/>
      <c r="O22" s="55" t="str">
        <f>IF(I22=M22, "data is correct", "correct data")</f>
        <v>data is correct</v>
      </c>
      <c r="P22" s="55" t="str">
        <f>IF(J22=N22, "data is correct", "correct data")</f>
        <v>data is correct</v>
      </c>
      <c r="Q22" s="63"/>
      <c r="R22" s="63"/>
      <c r="S22" s="63"/>
      <c r="T22" s="63"/>
      <c r="U22" s="63"/>
      <c r="V22" s="64"/>
    </row>
    <row r="23" spans="2:22" x14ac:dyDescent="0.3">
      <c r="B23" s="53" t="s">
        <v>169</v>
      </c>
      <c r="C23" s="61" t="str">
        <f>IFERROR(C22/(C18+C19),"N/A")</f>
        <v>N/A</v>
      </c>
      <c r="D23" s="61" t="str">
        <f>IFERROR(D22/(D18+D19),"N/A")</f>
        <v>N/A</v>
      </c>
      <c r="E23" s="61" t="str">
        <f t="shared" ref="E23:F23" si="8">IFERROR(E22/(E18+E19),"N/A")</f>
        <v>N/A</v>
      </c>
      <c r="F23" s="61" t="str">
        <f t="shared" si="8"/>
        <v>N/A</v>
      </c>
      <c r="G23" s="62"/>
      <c r="H23" s="62"/>
      <c r="I23" s="61" t="str">
        <f>IFERROR(I22/(I18+I19),"N/A")</f>
        <v>N/A</v>
      </c>
      <c r="J23" s="61" t="str">
        <f>IFERROR(J22/(J18+J19),"N/A")</f>
        <v>N/A</v>
      </c>
      <c r="K23" s="62"/>
      <c r="L23" s="62"/>
      <c r="M23" s="61" t="str">
        <f>IFERROR(M22/(M18+M19),"N/A")</f>
        <v>N/A</v>
      </c>
      <c r="N23" s="61" t="str">
        <f>IFERROR(N22/(N18+N19),"N/A")</f>
        <v>N/A</v>
      </c>
      <c r="O23" s="62"/>
      <c r="P23" s="62"/>
      <c r="Q23" s="63"/>
      <c r="R23" s="63"/>
      <c r="S23" s="63"/>
      <c r="T23" s="63"/>
      <c r="U23" s="63"/>
      <c r="V23" s="64"/>
    </row>
    <row r="24" spans="2:22" x14ac:dyDescent="0.3">
      <c r="B24" s="53" t="s">
        <v>170</v>
      </c>
      <c r="C24" s="66">
        <f>(C18+C19)-C22</f>
        <v>0</v>
      </c>
      <c r="D24" s="66">
        <f t="shared" ref="D24:F24" si="9">(D18+D19)-D22</f>
        <v>0</v>
      </c>
      <c r="E24" s="66">
        <f t="shared" si="9"/>
        <v>0</v>
      </c>
      <c r="F24" s="66">
        <f t="shared" si="9"/>
        <v>0</v>
      </c>
      <c r="G24" s="55" t="str">
        <f>IF(C24=E24, "data is correct", "correct data")</f>
        <v>data is correct</v>
      </c>
      <c r="H24" s="55" t="str">
        <f>IF(D24=F24, "data is correct", "correct data")</f>
        <v>data is correct</v>
      </c>
      <c r="I24" s="66">
        <f>(I18+I19)-I22</f>
        <v>0</v>
      </c>
      <c r="J24" s="66">
        <f>(J18+J19)-J22</f>
        <v>0</v>
      </c>
      <c r="K24" s="55" t="str">
        <f>IF(E24=I24, "data is correct", "correct data")</f>
        <v>data is correct</v>
      </c>
      <c r="L24" s="55" t="str">
        <f>IF(F24=J24, "data is correct", "correct data")</f>
        <v>data is correct</v>
      </c>
      <c r="M24" s="66">
        <f>(M18+M19)-M22</f>
        <v>0</v>
      </c>
      <c r="N24" s="66">
        <f>(N18+N19)-N22</f>
        <v>0</v>
      </c>
      <c r="O24" s="55" t="str">
        <f>IF(I24=M24, "data is correct", "correct data")</f>
        <v>data is correct</v>
      </c>
      <c r="P24" s="55" t="str">
        <f>IF(J24=N24, "data is correct", "correct data")</f>
        <v>data is correct</v>
      </c>
      <c r="Q24" s="63"/>
      <c r="R24" s="63"/>
      <c r="S24" s="63"/>
      <c r="T24" s="63"/>
      <c r="U24" s="63"/>
      <c r="V24" s="64"/>
    </row>
    <row r="25" spans="2:22" x14ac:dyDescent="0.3">
      <c r="B25" s="53" t="s">
        <v>171</v>
      </c>
      <c r="C25" s="61" t="str">
        <f>IFERROR(C24/C22,"N/A")</f>
        <v>N/A</v>
      </c>
      <c r="D25" s="61" t="str">
        <f t="shared" ref="D25" si="10">IFERROR(D24/D22,"N/A")</f>
        <v>N/A</v>
      </c>
      <c r="E25" s="67" t="str">
        <f>IFERROR(E24/E22,"N/A")</f>
        <v>N/A</v>
      </c>
      <c r="F25" s="61" t="str">
        <f t="shared" ref="F25" si="11">IFERROR(F24/F22,"N/A")</f>
        <v>N/A</v>
      </c>
      <c r="G25" s="62"/>
      <c r="H25" s="62"/>
      <c r="I25" s="67" t="str">
        <f>IFERROR(I24/I22,"N/A")</f>
        <v>N/A</v>
      </c>
      <c r="J25" s="61" t="str">
        <f t="shared" ref="J25" si="12">IFERROR(J24/J22,"N/A")</f>
        <v>N/A</v>
      </c>
      <c r="K25" s="62"/>
      <c r="L25" s="62"/>
      <c r="M25" s="61" t="str">
        <f>IFERROR(M24/M22,"N/A")</f>
        <v>N/A</v>
      </c>
      <c r="N25" s="61" t="str">
        <f>IFERROR(N24/N22,"N/A")</f>
        <v>N/A</v>
      </c>
      <c r="O25" s="62"/>
      <c r="P25" s="62"/>
      <c r="Q25" s="63"/>
      <c r="R25" s="63"/>
      <c r="S25" s="63"/>
      <c r="T25" s="63"/>
      <c r="U25" s="63"/>
      <c r="V25" s="64"/>
    </row>
    <row r="26" spans="2:22" x14ac:dyDescent="0.3">
      <c r="B26" s="68" t="s">
        <v>172</v>
      </c>
      <c r="C26" s="69" t="s">
        <v>173</v>
      </c>
      <c r="D26" s="69" t="s">
        <v>174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</row>
    <row r="27" spans="2:22" x14ac:dyDescent="0.3">
      <c r="B27" s="99" t="s">
        <v>175</v>
      </c>
      <c r="C27" s="71"/>
      <c r="D27" s="72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</row>
    <row r="28" spans="2:22" x14ac:dyDescent="0.3">
      <c r="B28" s="99" t="s">
        <v>176</v>
      </c>
      <c r="C28" s="73" t="str">
        <f>IF(C19=C27,"data is correct","update TIR with correct number")</f>
        <v>data is correct</v>
      </c>
      <c r="D28" s="73" t="str">
        <f>IF(D17=D27,"data is correct","update TIR with correct number")</f>
        <v>data is correct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</row>
    <row r="29" spans="2:22" ht="15" thickBot="1" x14ac:dyDescent="0.35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</row>
    <row r="30" spans="2:22" ht="15" thickBot="1" x14ac:dyDescent="0.35">
      <c r="B30" s="74"/>
      <c r="C30" s="228" t="s">
        <v>150</v>
      </c>
      <c r="D30" s="229"/>
      <c r="E30" s="228" t="s">
        <v>232</v>
      </c>
      <c r="F30" s="229"/>
      <c r="G30" s="77"/>
      <c r="H30" s="77"/>
      <c r="I30" s="230" t="s">
        <v>177</v>
      </c>
      <c r="J30" s="231"/>
      <c r="K30" s="77"/>
      <c r="L30" s="77"/>
      <c r="M30" s="75" t="s">
        <v>154</v>
      </c>
      <c r="N30" s="76"/>
      <c r="O30" s="75" t="s">
        <v>152</v>
      </c>
      <c r="P30" s="76"/>
      <c r="Q30" s="78"/>
      <c r="R30" s="78"/>
      <c r="S30" s="78"/>
      <c r="T30" s="78"/>
      <c r="U30" s="78"/>
      <c r="V30" s="78"/>
    </row>
    <row r="31" spans="2:22" x14ac:dyDescent="0.3">
      <c r="B31" s="79" t="s">
        <v>178</v>
      </c>
      <c r="C31" s="80" t="s">
        <v>155</v>
      </c>
      <c r="D31" s="80" t="s">
        <v>156</v>
      </c>
      <c r="E31" s="81" t="s">
        <v>155</v>
      </c>
      <c r="F31" s="82" t="s">
        <v>157</v>
      </c>
      <c r="G31" s="83"/>
      <c r="H31" s="83"/>
      <c r="I31" s="50" t="s">
        <v>155</v>
      </c>
      <c r="J31" s="50" t="s">
        <v>157</v>
      </c>
      <c r="K31" s="83"/>
      <c r="L31" s="83"/>
      <c r="M31" s="84" t="s">
        <v>155</v>
      </c>
      <c r="N31" s="85" t="s">
        <v>157</v>
      </c>
      <c r="O31" s="86" t="s">
        <v>155</v>
      </c>
      <c r="P31" s="87" t="s">
        <v>157</v>
      </c>
      <c r="Q31" s="88"/>
      <c r="R31" s="88"/>
      <c r="S31" s="89"/>
      <c r="T31" s="88"/>
      <c r="U31" s="88"/>
      <c r="V31" s="87"/>
    </row>
    <row r="32" spans="2:22" x14ac:dyDescent="0.3">
      <c r="B32" s="98" t="s">
        <v>179</v>
      </c>
      <c r="C32" s="90"/>
      <c r="D32" s="90"/>
      <c r="E32" s="90"/>
      <c r="F32" s="90"/>
      <c r="G32" s="55" t="str">
        <f>IF(C32=E32, "data is correct", "correct data")</f>
        <v>data is correct</v>
      </c>
      <c r="H32" s="55" t="str">
        <f>IF(D32=F32, "data is correct", "correct data")</f>
        <v>data is correct</v>
      </c>
      <c r="I32" s="54"/>
      <c r="J32" s="54"/>
      <c r="K32" s="55" t="str">
        <f>IF(E32=I32, "data is correct", "correct data")</f>
        <v>data is correct</v>
      </c>
      <c r="L32" s="65" t="str">
        <f>IF(F32=J32, "data is correct", "correct data")</f>
        <v>data is correct</v>
      </c>
      <c r="M32" s="91"/>
      <c r="N32" s="92"/>
      <c r="O32" s="93" t="str">
        <f>IF(E32=M32, "data is correct", "correct data")</f>
        <v>data is correct</v>
      </c>
      <c r="P32" s="55" t="str">
        <f>IF(F32=N32, "data is correct", "correct data")</f>
        <v>data is correct</v>
      </c>
      <c r="Q32" s="94"/>
      <c r="R32" s="94"/>
      <c r="S32" s="95"/>
      <c r="T32" s="94"/>
      <c r="U32" s="94"/>
      <c r="V32" s="96"/>
    </row>
    <row r="33" spans="2:22" x14ac:dyDescent="0.3">
      <c r="B33" s="98" t="s">
        <v>180</v>
      </c>
      <c r="C33" s="54"/>
      <c r="D33" s="54"/>
      <c r="E33" s="54"/>
      <c r="F33" s="54"/>
      <c r="G33" s="55" t="str">
        <f>IF(C33=E33, "data is correct", "correct data")</f>
        <v>data is correct</v>
      </c>
      <c r="H33" s="55" t="str">
        <f>IF(D33=F33, "data is correct", "correct data")</f>
        <v>data is correct</v>
      </c>
      <c r="I33" s="54"/>
      <c r="J33" s="54"/>
      <c r="K33" s="55" t="str">
        <f>IF(E33=I33, "data is correct", "correct data")</f>
        <v>data is correct</v>
      </c>
      <c r="L33" s="65" t="str">
        <f>IF(F33=J33, "data is correct", "correct data")</f>
        <v>data is correct</v>
      </c>
      <c r="M33" s="91"/>
      <c r="N33" s="92"/>
      <c r="O33" s="93" t="str">
        <f>IF(E33=M33, "data is correct", "correct data")</f>
        <v>data is correct</v>
      </c>
      <c r="P33" s="55" t="str">
        <f>IF(F33=N33, "data is correct", "correct data")</f>
        <v>data is correct</v>
      </c>
      <c r="Q33" s="94"/>
      <c r="R33" s="94"/>
      <c r="S33" s="95"/>
      <c r="T33" s="94"/>
      <c r="U33" s="94"/>
      <c r="V33" s="96"/>
    </row>
    <row r="34" spans="2:22" x14ac:dyDescent="0.3">
      <c r="B34" s="98" t="s">
        <v>181</v>
      </c>
      <c r="C34" s="61" t="str">
        <f>IFERROR(C33/C32,"N/A")</f>
        <v>N/A</v>
      </c>
      <c r="D34" s="61" t="str">
        <f>IFERROR(D33/D32,"N/A")</f>
        <v>N/A</v>
      </c>
      <c r="E34" s="61" t="str">
        <f>IFERROR(E33/E32,"N/A")</f>
        <v>N/A</v>
      </c>
      <c r="F34" s="61" t="str">
        <f>IFERROR(F33/F32,"N/A")</f>
        <v>N/A</v>
      </c>
      <c r="G34" s="65"/>
      <c r="H34" s="65"/>
      <c r="I34" s="61" t="str">
        <f>IFERROR(I33/I32,"N/A")</f>
        <v>N/A</v>
      </c>
      <c r="J34" s="61" t="str">
        <f>IFERROR(J33/J32,"N/A")</f>
        <v>N/A</v>
      </c>
      <c r="K34" s="65"/>
      <c r="L34" s="65"/>
      <c r="M34" s="61" t="str">
        <f>IFERROR(M33/M32,"N/A")</f>
        <v>N/A</v>
      </c>
      <c r="N34" s="61" t="str">
        <f>IFERROR(N33/N32,"N/A")</f>
        <v>N/A</v>
      </c>
      <c r="O34" s="93"/>
      <c r="P34" s="55"/>
      <c r="Q34" s="94"/>
      <c r="R34" s="94"/>
      <c r="S34" s="95"/>
      <c r="T34" s="94"/>
      <c r="U34" s="94"/>
      <c r="V34" s="96"/>
    </row>
    <row r="35" spans="2:22" x14ac:dyDescent="0.3">
      <c r="B35" s="29" t="s">
        <v>182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2" x14ac:dyDescent="0.3">
      <c r="B36" s="53" t="s">
        <v>183</v>
      </c>
      <c r="C36" s="97"/>
      <c r="D36" s="54"/>
      <c r="E36" s="97"/>
      <c r="F36" s="54"/>
      <c r="G36" s="55" t="str">
        <f>IF(A36=E36, "data is correct", "correct data")</f>
        <v>data is correct</v>
      </c>
      <c r="H36" s="55" t="str">
        <f>IF(B36=F36, "data is correct", "correct data")</f>
        <v>correct data</v>
      </c>
      <c r="I36" s="97"/>
      <c r="J36" s="54"/>
      <c r="K36" s="55" t="str">
        <f t="shared" ref="K36:L37" si="13">IF(E36=I36, "data is correct", "correct data")</f>
        <v>data is correct</v>
      </c>
      <c r="L36" s="65" t="str">
        <f t="shared" si="13"/>
        <v>data is correct</v>
      </c>
      <c r="M36" s="97"/>
      <c r="N36" s="94"/>
      <c r="O36" s="55" t="str">
        <f t="shared" ref="O36:P37" si="14">IF(E36=M36, "data is correct", "correct data")</f>
        <v>data is correct</v>
      </c>
      <c r="P36" s="55" t="str">
        <f t="shared" si="14"/>
        <v>data is correct</v>
      </c>
      <c r="Q36" s="94"/>
      <c r="R36" s="94"/>
      <c r="S36" s="95"/>
      <c r="T36" s="94"/>
      <c r="U36" s="94"/>
      <c r="V36" s="96"/>
    </row>
    <row r="37" spans="2:22" x14ac:dyDescent="0.3">
      <c r="B37" s="53" t="s">
        <v>184</v>
      </c>
      <c r="C37" s="97"/>
      <c r="D37" s="54"/>
      <c r="E37" s="97"/>
      <c r="F37" s="54"/>
      <c r="G37" s="55" t="str">
        <f>IF(A37=E37, "data is correct", "correct data")</f>
        <v>data is correct</v>
      </c>
      <c r="H37" s="55" t="str">
        <f>IF(B37=F37, "data is correct", "correct data")</f>
        <v>correct data</v>
      </c>
      <c r="I37" s="97"/>
      <c r="J37" s="54"/>
      <c r="K37" s="55" t="str">
        <f t="shared" si="13"/>
        <v>data is correct</v>
      </c>
      <c r="L37" s="65" t="str">
        <f t="shared" si="13"/>
        <v>data is correct</v>
      </c>
      <c r="M37" s="97"/>
      <c r="N37" s="94"/>
      <c r="O37" s="55" t="str">
        <f t="shared" si="14"/>
        <v>data is correct</v>
      </c>
      <c r="P37" s="55" t="str">
        <f t="shared" si="14"/>
        <v>data is correct</v>
      </c>
      <c r="Q37" s="94"/>
      <c r="R37" s="94"/>
      <c r="S37" s="95"/>
      <c r="T37" s="94"/>
      <c r="U37" s="94"/>
      <c r="V37" s="96"/>
    </row>
    <row r="38" spans="2:22" x14ac:dyDescent="0.3">
      <c r="B38" s="53" t="s">
        <v>185</v>
      </c>
      <c r="C38" s="61" t="str">
        <f>IFERROR(C37/C36,"N/A")</f>
        <v>N/A</v>
      </c>
      <c r="D38" s="61" t="str">
        <f>IFERROR(D37/D36,"N/A")</f>
        <v>N/A</v>
      </c>
      <c r="E38" s="61" t="str">
        <f>IFERROR(E37/E36,"N/A")</f>
        <v>N/A</v>
      </c>
      <c r="F38" s="61" t="str">
        <f>IFERROR(F37/F36,"N/A")</f>
        <v>N/A</v>
      </c>
      <c r="G38" s="55"/>
      <c r="H38" s="55"/>
      <c r="I38" s="61" t="str">
        <f>IFERROR(I37/I36,"N/A")</f>
        <v>N/A</v>
      </c>
      <c r="J38" s="61" t="str">
        <f>IFERROR(J37/J36,"N/A")</f>
        <v>N/A</v>
      </c>
      <c r="K38" s="65"/>
      <c r="L38" s="65"/>
      <c r="M38" s="61" t="str">
        <f>IFERROR(M37/M36,"N/A")</f>
        <v>N/A</v>
      </c>
      <c r="N38" s="61" t="str">
        <f>IFERROR(N37/N36,"N/A")</f>
        <v>N/A</v>
      </c>
      <c r="O38" s="55"/>
      <c r="P38" s="55"/>
      <c r="Q38" s="94"/>
      <c r="R38" s="94"/>
      <c r="S38" s="95"/>
      <c r="T38" s="94"/>
      <c r="U38" s="94"/>
      <c r="V38" s="96"/>
    </row>
    <row r="39" spans="2:22" x14ac:dyDescent="0.3">
      <c r="B39" s="100"/>
      <c r="C39" s="101"/>
      <c r="D39" s="101"/>
      <c r="E39" s="102"/>
      <c r="F39" s="102"/>
      <c r="G39" s="102"/>
      <c r="H39" s="102"/>
      <c r="I39" s="102"/>
      <c r="J39" s="102"/>
      <c r="K39" s="102"/>
    </row>
    <row r="40" spans="2:22" x14ac:dyDescent="0.3">
      <c r="B40" s="103" t="s">
        <v>149</v>
      </c>
      <c r="C40" s="104"/>
      <c r="D40" s="104"/>
      <c r="E40" s="104"/>
      <c r="F40" s="104"/>
      <c r="G40" s="104"/>
      <c r="H40" s="104"/>
      <c r="I40" s="104"/>
      <c r="J40" s="104"/>
      <c r="K40" s="104"/>
    </row>
    <row r="41" spans="2:22" x14ac:dyDescent="0.3">
      <c r="B41" s="41" t="s">
        <v>187</v>
      </c>
      <c r="C41" s="6"/>
      <c r="D41" s="6"/>
      <c r="E41" s="6"/>
      <c r="F41" s="6"/>
      <c r="G41" s="6"/>
      <c r="H41" s="6"/>
      <c r="I41" s="6"/>
      <c r="J41" s="6"/>
      <c r="K41" s="6"/>
    </row>
    <row r="42" spans="2:22" x14ac:dyDescent="0.3">
      <c r="B42" s="105"/>
      <c r="C42" s="106" t="s">
        <v>188</v>
      </c>
      <c r="D42" s="107" t="s">
        <v>126</v>
      </c>
      <c r="E42" s="108"/>
      <c r="F42" s="109"/>
      <c r="G42" s="110"/>
      <c r="H42" s="110"/>
      <c r="I42" s="110"/>
      <c r="J42" s="110"/>
      <c r="K42" s="111"/>
    </row>
    <row r="43" spans="2:22" x14ac:dyDescent="0.3">
      <c r="B43" s="112" t="s">
        <v>189</v>
      </c>
      <c r="C43" s="113"/>
      <c r="D43" s="212"/>
      <c r="E43" s="213"/>
      <c r="F43" s="213"/>
      <c r="G43" s="213"/>
      <c r="H43" s="213"/>
      <c r="I43" s="213"/>
      <c r="J43" s="213"/>
      <c r="K43" s="214"/>
    </row>
    <row r="44" spans="2:22" x14ac:dyDescent="0.3">
      <c r="B44" s="114" t="s">
        <v>190</v>
      </c>
      <c r="C44" s="54"/>
      <c r="D44" s="218"/>
      <c r="E44" s="219"/>
      <c r="F44" s="219"/>
      <c r="G44" s="219"/>
      <c r="H44" s="219"/>
      <c r="I44" s="219"/>
      <c r="J44" s="219"/>
      <c r="K44" s="220"/>
    </row>
    <row r="45" spans="2:22" x14ac:dyDescent="0.3">
      <c r="B45" s="114" t="s">
        <v>191</v>
      </c>
      <c r="C45" s="54"/>
      <c r="D45" s="218"/>
      <c r="E45" s="219"/>
      <c r="F45" s="219"/>
      <c r="G45" s="219"/>
      <c r="H45" s="219"/>
      <c r="I45" s="219"/>
      <c r="J45" s="219"/>
      <c r="K45" s="220"/>
    </row>
    <row r="46" spans="2:22" x14ac:dyDescent="0.3">
      <c r="B46" s="114" t="s">
        <v>192</v>
      </c>
      <c r="C46" s="54"/>
      <c r="D46" s="218"/>
      <c r="E46" s="219"/>
      <c r="F46" s="219"/>
      <c r="G46" s="219"/>
      <c r="H46" s="219"/>
      <c r="I46" s="219"/>
      <c r="J46" s="219"/>
      <c r="K46" s="220"/>
    </row>
    <row r="47" spans="2:22" x14ac:dyDescent="0.3">
      <c r="B47" s="114" t="s">
        <v>193</v>
      </c>
      <c r="C47" s="54"/>
      <c r="D47" s="218"/>
      <c r="E47" s="219"/>
      <c r="F47" s="219"/>
      <c r="G47" s="219"/>
      <c r="H47" s="219"/>
      <c r="I47" s="219"/>
      <c r="J47" s="219"/>
      <c r="K47" s="220"/>
    </row>
    <row r="48" spans="2:22" x14ac:dyDescent="0.3">
      <c r="B48" s="114" t="s">
        <v>194</v>
      </c>
      <c r="C48" s="54"/>
      <c r="D48" s="113"/>
      <c r="E48" s="115"/>
      <c r="F48" s="115"/>
      <c r="G48" s="115"/>
      <c r="H48" s="115"/>
      <c r="I48" s="115"/>
      <c r="J48" s="115"/>
      <c r="K48" s="116"/>
    </row>
    <row r="49" spans="2:11" x14ac:dyDescent="0.3">
      <c r="B49" s="114" t="s">
        <v>195</v>
      </c>
      <c r="C49" s="54"/>
      <c r="D49" s="113"/>
      <c r="E49" s="115"/>
      <c r="F49" s="115"/>
      <c r="G49" s="115"/>
      <c r="H49" s="115"/>
      <c r="I49" s="115"/>
      <c r="J49" s="115"/>
      <c r="K49" s="116"/>
    </row>
    <row r="50" spans="2:11" x14ac:dyDescent="0.3">
      <c r="B50" s="114" t="s">
        <v>196</v>
      </c>
      <c r="C50" s="54"/>
      <c r="D50" s="113"/>
      <c r="E50" s="115"/>
      <c r="F50" s="115"/>
      <c r="G50" s="115"/>
      <c r="H50" s="115"/>
      <c r="I50" s="115"/>
      <c r="J50" s="115"/>
      <c r="K50" s="116"/>
    </row>
    <row r="51" spans="2:11" x14ac:dyDescent="0.3">
      <c r="B51" s="112" t="s">
        <v>197</v>
      </c>
      <c r="C51" s="54"/>
      <c r="D51" s="218"/>
      <c r="E51" s="219"/>
      <c r="F51" s="219"/>
      <c r="G51" s="219"/>
      <c r="H51" s="219"/>
      <c r="I51" s="219"/>
      <c r="J51" s="219"/>
      <c r="K51" s="220"/>
    </row>
    <row r="52" spans="2:11" x14ac:dyDescent="0.3">
      <c r="B52" s="164" t="s">
        <v>198</v>
      </c>
      <c r="C52" s="54"/>
      <c r="D52" s="218"/>
      <c r="E52" s="219"/>
      <c r="F52" s="219"/>
      <c r="G52" s="219"/>
      <c r="H52" s="219"/>
      <c r="I52" s="219"/>
      <c r="J52" s="219"/>
      <c r="K52" s="220"/>
    </row>
    <row r="53" spans="2:11" x14ac:dyDescent="0.3">
      <c r="B53" s="117"/>
      <c r="C53" s="102"/>
      <c r="D53" s="102"/>
      <c r="E53" s="102"/>
      <c r="F53" s="102"/>
      <c r="G53" s="102"/>
      <c r="H53" s="102"/>
      <c r="I53" s="102"/>
      <c r="J53" s="102"/>
      <c r="K53" s="102"/>
    </row>
    <row r="54" spans="2:11" x14ac:dyDescent="0.3">
      <c r="B54" s="103" t="s">
        <v>199</v>
      </c>
      <c r="C54" s="104"/>
      <c r="D54" s="104"/>
      <c r="E54" s="104"/>
      <c r="F54" s="104"/>
      <c r="G54" s="104"/>
      <c r="H54" s="104"/>
      <c r="I54" s="104"/>
      <c r="J54" s="104"/>
      <c r="K54" s="104"/>
    </row>
    <row r="55" spans="2:11" x14ac:dyDescent="0.3">
      <c r="B55" s="41" t="s">
        <v>200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 ht="30" customHeight="1" x14ac:dyDescent="0.3">
      <c r="B56" s="118"/>
      <c r="C56" s="119" t="s">
        <v>233</v>
      </c>
      <c r="D56" s="120" t="s">
        <v>177</v>
      </c>
      <c r="E56" s="121" t="s">
        <v>152</v>
      </c>
      <c r="F56" s="106" t="s">
        <v>126</v>
      </c>
      <c r="G56" s="122"/>
      <c r="H56" s="122"/>
      <c r="I56" s="122"/>
      <c r="J56" s="122"/>
      <c r="K56" s="122"/>
    </row>
    <row r="57" spans="2:11" x14ac:dyDescent="0.3">
      <c r="B57" s="53" t="s">
        <v>202</v>
      </c>
      <c r="C57" s="54"/>
      <c r="D57" s="54"/>
      <c r="E57" s="123" t="str">
        <f>IFERROR(IF(C57-D57&lt;&gt;0,"correct data",""), 0)</f>
        <v/>
      </c>
      <c r="F57" s="218"/>
      <c r="G57" s="219"/>
      <c r="H57" s="219"/>
      <c r="I57" s="219"/>
      <c r="J57" s="219"/>
      <c r="K57" s="220"/>
    </row>
    <row r="58" spans="2:11" x14ac:dyDescent="0.3">
      <c r="B58" s="53" t="s">
        <v>203</v>
      </c>
      <c r="C58" s="124" t="str">
        <f>IFERROR(C57/C67,"")</f>
        <v/>
      </c>
      <c r="D58" s="124" t="str">
        <f>IFERROR(D57/D67,"")</f>
        <v/>
      </c>
      <c r="E58" s="123"/>
      <c r="F58" s="125"/>
      <c r="G58" s="126"/>
      <c r="H58" s="126"/>
      <c r="I58" s="126"/>
      <c r="J58" s="126"/>
      <c r="K58" s="126"/>
    </row>
    <row r="59" spans="2:11" x14ac:dyDescent="0.3">
      <c r="B59" s="53" t="s">
        <v>204</v>
      </c>
      <c r="C59" s="54"/>
      <c r="D59" s="54"/>
      <c r="E59" s="123" t="str">
        <f>IFERROR(IF(C59-D59&lt;&gt;0,"correct data",""), 0)</f>
        <v/>
      </c>
      <c r="F59" s="218"/>
      <c r="G59" s="219"/>
      <c r="H59" s="219"/>
      <c r="I59" s="219"/>
      <c r="J59" s="219"/>
      <c r="K59" s="220"/>
    </row>
    <row r="60" spans="2:11" x14ac:dyDescent="0.3">
      <c r="B60" s="53" t="s">
        <v>205</v>
      </c>
      <c r="C60" s="124" t="str">
        <f>IFERROR(C59/C67,"")</f>
        <v/>
      </c>
      <c r="D60" s="124" t="str">
        <f>IFERROR(D59/D67,"")</f>
        <v/>
      </c>
      <c r="E60" s="123"/>
      <c r="F60" s="125"/>
      <c r="G60" s="126"/>
      <c r="H60" s="126"/>
      <c r="I60" s="126"/>
      <c r="J60" s="126"/>
      <c r="K60" s="126"/>
    </row>
    <row r="61" spans="2:11" x14ac:dyDescent="0.3">
      <c r="B61" s="53" t="s">
        <v>206</v>
      </c>
      <c r="C61" s="54"/>
      <c r="D61" s="54"/>
      <c r="E61" s="123" t="str">
        <f>IFERROR(IF(C61-D61&lt;&gt;0,"correct data",""), 0)</f>
        <v/>
      </c>
      <c r="F61" s="218"/>
      <c r="G61" s="219"/>
      <c r="H61" s="219"/>
      <c r="I61" s="219"/>
      <c r="J61" s="219"/>
      <c r="K61" s="220"/>
    </row>
    <row r="62" spans="2:11" x14ac:dyDescent="0.3">
      <c r="B62" s="53" t="s">
        <v>207</v>
      </c>
      <c r="C62" s="124" t="str">
        <f>IFERROR(C61/C67,"")</f>
        <v/>
      </c>
      <c r="D62" s="124" t="str">
        <f>IFERROR(D61/D67,"")</f>
        <v/>
      </c>
      <c r="E62" s="123"/>
      <c r="F62" s="127"/>
      <c r="G62" s="128"/>
      <c r="H62" s="128"/>
      <c r="I62" s="128"/>
      <c r="J62" s="128"/>
      <c r="K62" s="128"/>
    </row>
    <row r="63" spans="2:11" x14ac:dyDescent="0.3">
      <c r="B63" s="53" t="s">
        <v>208</v>
      </c>
      <c r="C63" s="54"/>
      <c r="D63" s="54"/>
      <c r="E63" s="123" t="str">
        <f>IFERROR(IF(C63-D63&lt;&gt;0,"correct data",""), 0)</f>
        <v/>
      </c>
      <c r="F63" s="218"/>
      <c r="G63" s="219"/>
      <c r="H63" s="219"/>
      <c r="I63" s="219"/>
      <c r="J63" s="219"/>
      <c r="K63" s="220"/>
    </row>
    <row r="64" spans="2:11" x14ac:dyDescent="0.3">
      <c r="B64" s="53" t="s">
        <v>209</v>
      </c>
      <c r="C64" s="124" t="str">
        <f>IFERROR(C63/C67,"")</f>
        <v/>
      </c>
      <c r="D64" s="124" t="str">
        <f>IFERROR(D63/D67,"")</f>
        <v/>
      </c>
      <c r="E64" s="123"/>
      <c r="F64" s="127"/>
      <c r="G64" s="128"/>
      <c r="H64" s="128"/>
      <c r="I64" s="128"/>
      <c r="J64" s="128"/>
      <c r="K64" s="128"/>
    </row>
    <row r="65" spans="2:11" x14ac:dyDescent="0.3">
      <c r="B65" s="53" t="s">
        <v>210</v>
      </c>
      <c r="C65" s="54"/>
      <c r="D65" s="54"/>
      <c r="E65" s="123" t="str">
        <f>IFERROR(IF(C65-D65&lt;&gt;0,"correct data",""), 0)</f>
        <v/>
      </c>
      <c r="F65" s="218"/>
      <c r="G65" s="219"/>
      <c r="H65" s="219"/>
      <c r="I65" s="219"/>
      <c r="J65" s="219"/>
      <c r="K65" s="220"/>
    </row>
    <row r="66" spans="2:11" x14ac:dyDescent="0.3">
      <c r="B66" s="53" t="s">
        <v>211</v>
      </c>
      <c r="C66" s="124" t="str">
        <f>IFERROR(C65/C67,"")</f>
        <v/>
      </c>
      <c r="D66" s="124" t="str">
        <f>IFERROR(D65/D67,"")</f>
        <v/>
      </c>
      <c r="E66" s="123"/>
      <c r="F66" s="127"/>
      <c r="G66" s="128"/>
      <c r="H66" s="128"/>
      <c r="I66" s="128"/>
      <c r="J66" s="128"/>
      <c r="K66" s="128"/>
    </row>
    <row r="67" spans="2:11" s="139" customFormat="1" x14ac:dyDescent="0.3">
      <c r="B67" s="135" t="s">
        <v>212</v>
      </c>
      <c r="C67" s="140">
        <f>C65+C63+C61+C59+C57</f>
        <v>0</v>
      </c>
      <c r="D67" s="140">
        <f>D65+D63+D61+D59+D57</f>
        <v>0</v>
      </c>
      <c r="E67" s="136"/>
      <c r="F67" s="137"/>
      <c r="G67" s="138"/>
      <c r="H67" s="138"/>
      <c r="I67" s="138"/>
      <c r="J67" s="138"/>
      <c r="K67" s="138"/>
    </row>
    <row r="68" spans="2:11" x14ac:dyDescent="0.3">
      <c r="B68" s="53" t="s">
        <v>213</v>
      </c>
      <c r="C68" s="54"/>
      <c r="D68" s="54"/>
      <c r="E68" s="123" t="str">
        <f>IFERROR(IF(C68-D68&lt;&gt;0,"correct data",""), 0)</f>
        <v/>
      </c>
      <c r="F68" s="221"/>
      <c r="G68" s="222"/>
      <c r="H68" s="222"/>
      <c r="I68" s="222"/>
      <c r="J68" s="222"/>
      <c r="K68" s="223"/>
    </row>
    <row r="69" spans="2:11" x14ac:dyDescent="0.3">
      <c r="B69" s="53" t="s">
        <v>214</v>
      </c>
      <c r="C69" s="124" t="str">
        <f>IFERROR(C68/C72,"")</f>
        <v/>
      </c>
      <c r="D69" s="124" t="str">
        <f>IFERROR(D68/D72,"")</f>
        <v/>
      </c>
      <c r="E69" s="123"/>
      <c r="F69" s="127"/>
      <c r="G69" s="128"/>
      <c r="H69" s="128"/>
      <c r="I69" s="128"/>
      <c r="J69" s="128"/>
      <c r="K69" s="128"/>
    </row>
    <row r="70" spans="2:11" x14ac:dyDescent="0.3">
      <c r="B70" s="53" t="s">
        <v>215</v>
      </c>
      <c r="C70" s="54"/>
      <c r="D70" s="54"/>
      <c r="E70" s="123" t="str">
        <f>IFERROR(IF(C70-D70&lt;&gt;0,"correct data",""), 0)</f>
        <v/>
      </c>
      <c r="F70" s="212"/>
      <c r="G70" s="213"/>
      <c r="H70" s="213"/>
      <c r="I70" s="213"/>
      <c r="J70" s="213"/>
      <c r="K70" s="214"/>
    </row>
    <row r="71" spans="2:11" x14ac:dyDescent="0.3">
      <c r="B71" s="53" t="s">
        <v>216</v>
      </c>
      <c r="C71" s="54"/>
      <c r="D71" s="54"/>
      <c r="E71" s="123" t="str">
        <f>IFERROR(IF(C71-D71&lt;&gt;0,"correct data",""), 0)</f>
        <v/>
      </c>
      <c r="F71" s="215"/>
      <c r="G71" s="216"/>
      <c r="H71" s="216"/>
      <c r="I71" s="216"/>
      <c r="J71" s="216"/>
      <c r="K71" s="217"/>
    </row>
    <row r="72" spans="2:11" x14ac:dyDescent="0.3">
      <c r="B72" s="53" t="s">
        <v>217</v>
      </c>
      <c r="C72" s="123">
        <f>C71+C70+C68+C63+C61+C59+C57+C65</f>
        <v>0</v>
      </c>
      <c r="D72" s="123">
        <f>D71+D70+D68+D63+D61+D59+D57+D65</f>
        <v>0</v>
      </c>
      <c r="E72" s="123" t="str">
        <f>IFERROR(IF(C72-D72&lt;&gt;0,"correct data",""), 0)</f>
        <v/>
      </c>
      <c r="F72" s="127"/>
      <c r="G72" s="128"/>
      <c r="H72" s="128"/>
      <c r="I72" s="128"/>
      <c r="J72" s="128"/>
      <c r="K72" s="128"/>
    </row>
    <row r="73" spans="2:11" x14ac:dyDescent="0.3">
      <c r="B73" s="53" t="s">
        <v>218</v>
      </c>
      <c r="C73" s="54"/>
      <c r="D73" s="54"/>
      <c r="E73" s="123" t="str">
        <f>IFERROR(IF(C73-D73&lt;&gt;0,"correct data",""), 0)</f>
        <v/>
      </c>
      <c r="F73" s="129"/>
      <c r="G73" s="130"/>
      <c r="H73" s="130"/>
      <c r="I73" s="130"/>
      <c r="J73" s="130"/>
      <c r="K73" s="131"/>
    </row>
    <row r="74" spans="2:11" x14ac:dyDescent="0.3">
      <c r="B74" s="132"/>
      <c r="C74" s="123"/>
      <c r="D74" s="123"/>
      <c r="E74" s="123"/>
      <c r="F74" s="133"/>
      <c r="G74" s="134"/>
      <c r="H74" s="134"/>
      <c r="I74" s="134"/>
      <c r="J74" s="134"/>
      <c r="K74" s="134"/>
    </row>
  </sheetData>
  <sheetProtection algorithmName="SHA-512" hashValue="xjLMrJVxVbv7+NqJ76r+I5qYICck/dZr6/BIrXRXGevLmvpb0Q9BSIDYHKCsYTX9qZvdwwilwptzFYrbBW44uw==" saltValue="tj1OFkOihsiH8uxXxz3pZA==" spinCount="100000" sheet="1" objects="1" scenarios="1"/>
  <mergeCells count="22">
    <mergeCell ref="D52:K52"/>
    <mergeCell ref="D51:K51"/>
    <mergeCell ref="B10:B11"/>
    <mergeCell ref="C10:D10"/>
    <mergeCell ref="E10:F10"/>
    <mergeCell ref="I10:J10"/>
    <mergeCell ref="C30:D30"/>
    <mergeCell ref="E30:F30"/>
    <mergeCell ref="I30:J30"/>
    <mergeCell ref="D43:K43"/>
    <mergeCell ref="D44:K44"/>
    <mergeCell ref="D45:K45"/>
    <mergeCell ref="D46:K46"/>
    <mergeCell ref="D47:K47"/>
    <mergeCell ref="F70:K70"/>
    <mergeCell ref="F71:K71"/>
    <mergeCell ref="F57:K57"/>
    <mergeCell ref="F59:K59"/>
    <mergeCell ref="F61:K61"/>
    <mergeCell ref="F63:K63"/>
    <mergeCell ref="F65:K65"/>
    <mergeCell ref="F68:K68"/>
  </mergeCells>
  <conditionalFormatting sqref="C28:D28">
    <cfRule type="containsText" dxfId="84" priority="49" operator="containsText" text="update">
      <formula>NOT(ISERROR(SEARCH("update",C28)))</formula>
    </cfRule>
    <cfRule type="containsText" dxfId="83" priority="48" operator="containsText" text="data is correct">
      <formula>NOT(ISERROR(SEARCH("data is correct",C28)))</formula>
    </cfRule>
  </conditionalFormatting>
  <conditionalFormatting sqref="C58:D58">
    <cfRule type="cellIs" dxfId="82" priority="7" operator="lessThan">
      <formula>0.895</formula>
    </cfRule>
    <cfRule type="cellIs" dxfId="81" priority="8" operator="greaterThan">
      <formula>0.89544</formula>
    </cfRule>
  </conditionalFormatting>
  <conditionalFormatting sqref="C14:F14">
    <cfRule type="cellIs" dxfId="80" priority="47" operator="greaterThan">
      <formula>0.945</formula>
    </cfRule>
    <cfRule type="cellIs" dxfId="79" priority="46" operator="between">
      <formula>0.75</formula>
      <formula>0.9444</formula>
    </cfRule>
    <cfRule type="cellIs" dxfId="78" priority="45" operator="lessThan">
      <formula>0.75</formula>
    </cfRule>
    <cfRule type="cellIs" dxfId="77" priority="44" operator="equal">
      <formula>"N/A"</formula>
    </cfRule>
  </conditionalFormatting>
  <conditionalFormatting sqref="C16:F16">
    <cfRule type="containsText" dxfId="76" priority="43" operator="containsText" text="N/A">
      <formula>NOT(ISERROR(SEARCH("N/A",C16)))</formula>
    </cfRule>
  </conditionalFormatting>
  <conditionalFormatting sqref="C21:F21 I21:J21">
    <cfRule type="containsText" dxfId="75" priority="83" operator="containsText" text="N/A">
      <formula>NOT(ISERROR(SEARCH("N/A",C21)))</formula>
    </cfRule>
  </conditionalFormatting>
  <conditionalFormatting sqref="C23:F23">
    <cfRule type="cellIs" dxfId="74" priority="42" operator="greaterThan">
      <formula>0.985</formula>
    </cfRule>
    <cfRule type="cellIs" dxfId="73" priority="39" operator="equal">
      <formula>"N/A"</formula>
    </cfRule>
    <cfRule type="cellIs" dxfId="72" priority="40" operator="lessThan">
      <formula>0.85</formula>
    </cfRule>
    <cfRule type="cellIs" dxfId="71" priority="41" operator="between">
      <formula>0.85</formula>
      <formula>0.984444</formula>
    </cfRule>
  </conditionalFormatting>
  <conditionalFormatting sqref="C25:F25">
    <cfRule type="cellIs" dxfId="70" priority="37" operator="equal">
      <formula>"N/A"</formula>
    </cfRule>
    <cfRule type="cellIs" dxfId="69" priority="38" operator="greaterThan">
      <formula>0</formula>
    </cfRule>
  </conditionalFormatting>
  <conditionalFormatting sqref="C34:F34">
    <cfRule type="cellIs" dxfId="68" priority="71" operator="greaterThan">
      <formula>0.985</formula>
    </cfRule>
    <cfRule type="cellIs" dxfId="67" priority="70" operator="between">
      <formula>0.85</formula>
      <formula>0.984444</formula>
    </cfRule>
    <cfRule type="cellIs" dxfId="66" priority="69" operator="lessThan">
      <formula>0.85</formula>
    </cfRule>
    <cfRule type="cellIs" dxfId="65" priority="68" operator="equal">
      <formula>"N/A"</formula>
    </cfRule>
  </conditionalFormatting>
  <conditionalFormatting sqref="C38:F38">
    <cfRule type="cellIs" dxfId="64" priority="21" operator="equal">
      <formula>"N/A"</formula>
    </cfRule>
    <cfRule type="cellIs" dxfId="63" priority="22" operator="lessThan">
      <formula>0.85</formula>
    </cfRule>
    <cfRule type="cellIs" dxfId="62" priority="23" operator="between">
      <formula>0.85</formula>
      <formula>0.984444</formula>
    </cfRule>
    <cfRule type="cellIs" dxfId="61" priority="24" operator="greaterThan">
      <formula>0.985</formula>
    </cfRule>
  </conditionalFormatting>
  <conditionalFormatting sqref="E57 E59 E61 E63 E68 E70:E73">
    <cfRule type="cellIs" dxfId="60" priority="4" operator="equal">
      <formula>0</formula>
    </cfRule>
    <cfRule type="containsText" dxfId="59" priority="5" operator="containsText" text="&quot;&quot;">
      <formula>NOT(ISERROR(SEARCH("""""",E57)))</formula>
    </cfRule>
    <cfRule type="containsText" dxfId="58" priority="6" operator="containsText" text="correct data">
      <formula>NOT(ISERROR(SEARCH("correct data",E57)))</formula>
    </cfRule>
  </conditionalFormatting>
  <conditionalFormatting sqref="E65">
    <cfRule type="containsText" dxfId="57" priority="2" operator="containsText" text="&quot;&quot;">
      <formula>NOT(ISERROR(SEARCH("""""",E65)))</formula>
    </cfRule>
    <cfRule type="containsText" dxfId="56" priority="3" operator="containsText" text="correct data">
      <formula>NOT(ISERROR(SEARCH("correct data",E65)))</formula>
    </cfRule>
    <cfRule type="cellIs" dxfId="55" priority="1" operator="equal">
      <formula>0</formula>
    </cfRule>
  </conditionalFormatting>
  <conditionalFormatting sqref="G12:H13 G15:H15 G17:H20 G22:H22 G24:H24">
    <cfRule type="containsText" dxfId="54" priority="35" operator="containsText" text="data is correct">
      <formula>NOT(ISERROR(SEARCH("data is correct",G12)))</formula>
    </cfRule>
    <cfRule type="containsText" dxfId="53" priority="36" operator="containsText" text="correct data">
      <formula>NOT(ISERROR(SEARCH("correct data",G12)))</formula>
    </cfRule>
  </conditionalFormatting>
  <conditionalFormatting sqref="G32:H33">
    <cfRule type="containsText" dxfId="52" priority="33" operator="containsText" text="data is correct">
      <formula>NOT(ISERROR(SEARCH("data is correct",G32)))</formula>
    </cfRule>
    <cfRule type="containsText" dxfId="51" priority="34" operator="containsText" text="correct data">
      <formula>NOT(ISERROR(SEARCH("correct data",G32)))</formula>
    </cfRule>
  </conditionalFormatting>
  <conditionalFormatting sqref="G36:H37">
    <cfRule type="containsText" dxfId="50" priority="16" operator="containsText" text="correct data">
      <formula>NOT(ISERROR(SEARCH("correct data",G36)))</formula>
    </cfRule>
    <cfRule type="containsText" dxfId="49" priority="15" operator="containsText" text="data is correct">
      <formula>NOT(ISERROR(SEARCH("data is correct",G36)))</formula>
    </cfRule>
  </conditionalFormatting>
  <conditionalFormatting sqref="I14:J14">
    <cfRule type="cellIs" dxfId="48" priority="82" operator="greaterThan">
      <formula>0.945</formula>
    </cfRule>
    <cfRule type="cellIs" dxfId="47" priority="81" operator="between">
      <formula>0.75</formula>
      <formula>0.9444</formula>
    </cfRule>
    <cfRule type="cellIs" dxfId="46" priority="80" operator="lessThan">
      <formula>0.75</formula>
    </cfRule>
    <cfRule type="cellIs" dxfId="45" priority="79" operator="equal">
      <formula>"N/A"</formula>
    </cfRule>
  </conditionalFormatting>
  <conditionalFormatting sqref="I16:J16">
    <cfRule type="containsText" dxfId="44" priority="78" operator="containsText" text="N/A">
      <formula>NOT(ISERROR(SEARCH("N/A",I16)))</formula>
    </cfRule>
  </conditionalFormatting>
  <conditionalFormatting sqref="I23:J23">
    <cfRule type="cellIs" dxfId="43" priority="77" operator="greaterThan">
      <formula>0.985</formula>
    </cfRule>
    <cfRule type="cellIs" dxfId="42" priority="76" operator="between">
      <formula>0.85</formula>
      <formula>0.984444</formula>
    </cfRule>
    <cfRule type="cellIs" dxfId="41" priority="74" operator="equal">
      <formula>"N/A"</formula>
    </cfRule>
    <cfRule type="cellIs" dxfId="40" priority="75" operator="lessThan">
      <formula>0.85</formula>
    </cfRule>
  </conditionalFormatting>
  <conditionalFormatting sqref="I25:J25">
    <cfRule type="cellIs" dxfId="39" priority="73" operator="greaterThan">
      <formula>0</formula>
    </cfRule>
    <cfRule type="cellIs" dxfId="38" priority="72" operator="equal">
      <formula>"N/A"</formula>
    </cfRule>
  </conditionalFormatting>
  <conditionalFormatting sqref="I34:J34">
    <cfRule type="cellIs" dxfId="37" priority="52" operator="equal">
      <formula>"N/A"</formula>
    </cfRule>
    <cfRule type="cellIs" dxfId="36" priority="53" operator="lessThan">
      <formula>0.85</formula>
    </cfRule>
    <cfRule type="cellIs" dxfId="35" priority="54" operator="between">
      <formula>0.85</formula>
      <formula>0.984444</formula>
    </cfRule>
    <cfRule type="cellIs" dxfId="34" priority="55" operator="greaterThan">
      <formula>0.985</formula>
    </cfRule>
  </conditionalFormatting>
  <conditionalFormatting sqref="I38:J38">
    <cfRule type="cellIs" dxfId="33" priority="19" operator="between">
      <formula>0.85</formula>
      <formula>0.984444</formula>
    </cfRule>
    <cfRule type="cellIs" dxfId="32" priority="17" operator="equal">
      <formula>"N/A"</formula>
    </cfRule>
    <cfRule type="cellIs" dxfId="31" priority="18" operator="lessThan">
      <formula>0.85</formula>
    </cfRule>
    <cfRule type="cellIs" dxfId="30" priority="20" operator="greaterThan">
      <formula>0.985</formula>
    </cfRule>
  </conditionalFormatting>
  <conditionalFormatting sqref="K12:L13 K15:L15 K17:L20 K22:L22 K24:L24">
    <cfRule type="containsText" dxfId="29" priority="50" operator="containsText" text="data is correct">
      <formula>NOT(ISERROR(SEARCH("data is correct",K12)))</formula>
    </cfRule>
    <cfRule type="containsText" dxfId="28" priority="51" operator="containsText" text="correct data">
      <formula>NOT(ISERROR(SEARCH("correct data",K12)))</formula>
    </cfRule>
  </conditionalFormatting>
  <conditionalFormatting sqref="K36:L37">
    <cfRule type="containsText" dxfId="27" priority="25" operator="containsText" text="data is correct">
      <formula>NOT(ISERROR(SEARCH("data is correct",K36)))</formula>
    </cfRule>
    <cfRule type="containsText" dxfId="26" priority="26" operator="containsText" text="correct data">
      <formula>NOT(ISERROR(SEARCH("correct data",K36)))</formula>
    </cfRule>
  </conditionalFormatting>
  <conditionalFormatting sqref="M14:N14">
    <cfRule type="cellIs" dxfId="25" priority="66" operator="between">
      <formula>0.75</formula>
      <formula>0.9444</formula>
    </cfRule>
    <cfRule type="cellIs" dxfId="24" priority="64" operator="equal">
      <formula>"N/A"</formula>
    </cfRule>
    <cfRule type="cellIs" dxfId="23" priority="67" operator="greaterThan">
      <formula>0.945</formula>
    </cfRule>
    <cfRule type="cellIs" dxfId="22" priority="65" operator="lessThan">
      <formula>0.75</formula>
    </cfRule>
  </conditionalFormatting>
  <conditionalFormatting sqref="M16:N16">
    <cfRule type="containsText" dxfId="21" priority="63" operator="containsText" text="N/A">
      <formula>NOT(ISERROR(SEARCH("N/A",M16)))</formula>
    </cfRule>
  </conditionalFormatting>
  <conditionalFormatting sqref="M21:N21">
    <cfRule type="containsText" dxfId="20" priority="62" operator="containsText" text="N/A">
      <formula>NOT(ISERROR(SEARCH("N/A",M21)))</formula>
    </cfRule>
  </conditionalFormatting>
  <conditionalFormatting sqref="M23:N23">
    <cfRule type="cellIs" dxfId="19" priority="61" operator="greaterThan">
      <formula>0.985</formula>
    </cfRule>
    <cfRule type="cellIs" dxfId="18" priority="59" operator="lessThan">
      <formula>0.85</formula>
    </cfRule>
    <cfRule type="cellIs" dxfId="17" priority="60" operator="between">
      <formula>0.85</formula>
      <formula>0.984444</formula>
    </cfRule>
    <cfRule type="cellIs" dxfId="16" priority="58" operator="equal">
      <formula>"N/A"</formula>
    </cfRule>
  </conditionalFormatting>
  <conditionalFormatting sqref="M25:N25">
    <cfRule type="cellIs" dxfId="15" priority="57" operator="greaterThan">
      <formula>0</formula>
    </cfRule>
    <cfRule type="cellIs" dxfId="14" priority="56" operator="equal">
      <formula>"N/A"</formula>
    </cfRule>
  </conditionalFormatting>
  <conditionalFormatting sqref="M34:N34">
    <cfRule type="cellIs" dxfId="13" priority="27" operator="equal">
      <formula>"N/A"</formula>
    </cfRule>
    <cfRule type="cellIs" dxfId="12" priority="28" operator="lessThan">
      <formula>0.85</formula>
    </cfRule>
    <cfRule type="cellIs" dxfId="11" priority="30" operator="greaterThan">
      <formula>0.985</formula>
    </cfRule>
    <cfRule type="cellIs" dxfId="10" priority="29" operator="between">
      <formula>0.85</formula>
      <formula>0.984444</formula>
    </cfRule>
  </conditionalFormatting>
  <conditionalFormatting sqref="M38:N38">
    <cfRule type="cellIs" dxfId="9" priority="11" operator="between">
      <formula>0.85</formula>
      <formula>0.984444</formula>
    </cfRule>
    <cfRule type="cellIs" dxfId="8" priority="9" operator="equal">
      <formula>"N/A"</formula>
    </cfRule>
    <cfRule type="cellIs" dxfId="7" priority="12" operator="greaterThan">
      <formula>0.985</formula>
    </cfRule>
    <cfRule type="cellIs" dxfId="6" priority="10" operator="lessThan">
      <formula>0.85</formula>
    </cfRule>
  </conditionalFormatting>
  <conditionalFormatting sqref="O12:P13 O15:P15 O17:P20 O22:P22 O24:P24 K32:L33">
    <cfRule type="containsText" dxfId="5" priority="84" operator="containsText" text="data is correct">
      <formula>NOT(ISERROR(SEARCH("data is correct",K12)))</formula>
    </cfRule>
    <cfRule type="containsText" dxfId="4" priority="85" operator="containsText" text="correct data">
      <formula>NOT(ISERROR(SEARCH("correct data",K12)))</formula>
    </cfRule>
  </conditionalFormatting>
  <conditionalFormatting sqref="O32:P34">
    <cfRule type="containsText" dxfId="3" priority="31" operator="containsText" text="data is correct">
      <formula>NOT(ISERROR(SEARCH("data is correct",O32)))</formula>
    </cfRule>
    <cfRule type="containsText" dxfId="2" priority="32" operator="containsText" text="correct data">
      <formula>NOT(ISERROR(SEARCH("correct data",O32)))</formula>
    </cfRule>
  </conditionalFormatting>
  <conditionalFormatting sqref="O36:P38">
    <cfRule type="containsText" dxfId="1" priority="14" operator="containsText" text="correct data">
      <formula>NOT(ISERROR(SEARCH("correct data",O36)))</formula>
    </cfRule>
    <cfRule type="containsText" dxfId="0" priority="13" operator="containsText" text="data is correct">
      <formula>NOT(ISERROR(SEARCH("data is correct",O36)))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A842-00A8-462A-AAF8-79CF0E75F8CE}">
  <dimension ref="A2:AC25"/>
  <sheetViews>
    <sheetView showGridLines="0" workbookViewId="0">
      <selection activeCell="G30" sqref="G30"/>
    </sheetView>
  </sheetViews>
  <sheetFormatPr defaultColWidth="8.88671875" defaultRowHeight="14.4" x14ac:dyDescent="0.3"/>
  <cols>
    <col min="1" max="2" width="17.44140625" style="149" customWidth="1"/>
    <col min="3" max="3" width="20.6640625" style="149" customWidth="1"/>
    <col min="4" max="5" width="8.88671875" style="149"/>
    <col min="6" max="6" width="14.6640625" style="149" customWidth="1"/>
    <col min="7" max="7" width="20.6640625" style="149" customWidth="1"/>
    <col min="8" max="16" width="8.88671875" style="149"/>
    <col min="17" max="17" width="2.5546875" style="149" customWidth="1"/>
    <col min="18" max="18" width="8.88671875" style="149" hidden="1" customWidth="1"/>
    <col min="19" max="19" width="1.33203125" style="149" customWidth="1"/>
    <col min="20" max="21" width="8.88671875" style="149"/>
    <col min="22" max="22" width="2.109375" style="149" customWidth="1"/>
    <col min="23" max="27" width="8.88671875" style="149" hidden="1" customWidth="1"/>
    <col min="28" max="28" width="3.5546875" style="149" customWidth="1"/>
    <col min="29" max="29" width="9.6640625" style="149" customWidth="1"/>
    <col min="30" max="16384" width="8.88671875" style="149"/>
  </cols>
  <sheetData>
    <row r="2" spans="1:29" s="142" customFormat="1" ht="18" x14ac:dyDescent="0.3">
      <c r="A2" s="141" t="s">
        <v>234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</row>
    <row r="3" spans="1:29" s="142" customFormat="1" ht="28.8" x14ac:dyDescent="0.3">
      <c r="A3" s="143" t="s">
        <v>235</v>
      </c>
      <c r="B3" s="143" t="s">
        <v>141</v>
      </c>
      <c r="C3" s="144" t="s">
        <v>236</v>
      </c>
      <c r="D3" s="236" t="s">
        <v>237</v>
      </c>
      <c r="E3" s="236"/>
      <c r="F3" s="236"/>
      <c r="G3" s="145" t="s">
        <v>238</v>
      </c>
      <c r="H3" s="236" t="s">
        <v>239</v>
      </c>
      <c r="I3" s="236"/>
      <c r="J3" s="237" t="s">
        <v>240</v>
      </c>
      <c r="K3" s="238"/>
      <c r="L3" s="238"/>
      <c r="M3" s="238"/>
      <c r="N3" s="238"/>
      <c r="O3" s="238"/>
      <c r="P3" s="238"/>
      <c r="Q3" s="238"/>
      <c r="R3" s="238"/>
      <c r="S3" s="239"/>
      <c r="T3" s="237" t="s">
        <v>241</v>
      </c>
      <c r="U3" s="238"/>
      <c r="V3" s="238"/>
      <c r="W3" s="238"/>
      <c r="X3" s="238"/>
      <c r="Y3" s="238"/>
      <c r="Z3" s="238"/>
      <c r="AA3" s="238"/>
      <c r="AB3" s="238"/>
      <c r="AC3" s="239"/>
    </row>
    <row r="4" spans="1:29" x14ac:dyDescent="0.3">
      <c r="A4" s="146"/>
      <c r="B4" s="146"/>
      <c r="C4" s="147"/>
      <c r="D4" s="232"/>
      <c r="E4" s="232"/>
      <c r="F4" s="232"/>
      <c r="G4" s="148"/>
      <c r="H4" s="232"/>
      <c r="I4" s="232"/>
      <c r="J4" s="233"/>
      <c r="K4" s="234"/>
      <c r="L4" s="234"/>
      <c r="M4" s="234"/>
      <c r="N4" s="234"/>
      <c r="O4" s="234"/>
      <c r="P4" s="234"/>
      <c r="Q4" s="234"/>
      <c r="R4" s="234"/>
      <c r="S4" s="235"/>
      <c r="T4" s="233"/>
      <c r="U4" s="234"/>
      <c r="V4" s="234"/>
      <c r="W4" s="234"/>
      <c r="X4" s="234"/>
      <c r="Y4" s="234"/>
      <c r="Z4" s="234"/>
      <c r="AA4" s="234"/>
      <c r="AB4" s="234"/>
      <c r="AC4" s="235"/>
    </row>
    <row r="5" spans="1:29" x14ac:dyDescent="0.3">
      <c r="A5" s="147"/>
      <c r="B5" s="147"/>
      <c r="C5" s="147"/>
      <c r="D5" s="232"/>
      <c r="E5" s="232"/>
      <c r="F5" s="232"/>
      <c r="G5" s="148"/>
      <c r="H5" s="232"/>
      <c r="I5" s="232"/>
      <c r="J5" s="233"/>
      <c r="K5" s="234"/>
      <c r="L5" s="234"/>
      <c r="M5" s="234"/>
      <c r="N5" s="234"/>
      <c r="O5" s="234"/>
      <c r="P5" s="234"/>
      <c r="Q5" s="234"/>
      <c r="R5" s="234"/>
      <c r="S5" s="235"/>
      <c r="T5" s="233"/>
      <c r="U5" s="234"/>
      <c r="V5" s="234"/>
      <c r="W5" s="234"/>
      <c r="X5" s="234"/>
      <c r="Y5" s="234"/>
      <c r="Z5" s="234"/>
      <c r="AA5" s="234"/>
      <c r="AB5" s="234"/>
      <c r="AC5" s="235"/>
    </row>
    <row r="6" spans="1:29" x14ac:dyDescent="0.3">
      <c r="A6" s="147"/>
      <c r="B6" s="147"/>
      <c r="C6" s="147"/>
      <c r="D6" s="232"/>
      <c r="E6" s="232"/>
      <c r="F6" s="232"/>
      <c r="G6" s="148"/>
      <c r="H6" s="232"/>
      <c r="I6" s="232"/>
      <c r="J6" s="233"/>
      <c r="K6" s="234"/>
      <c r="L6" s="234"/>
      <c r="M6" s="234"/>
      <c r="N6" s="234"/>
      <c r="O6" s="234"/>
      <c r="P6" s="234"/>
      <c r="Q6" s="234"/>
      <c r="R6" s="234"/>
      <c r="S6" s="235"/>
      <c r="T6" s="233"/>
      <c r="U6" s="234"/>
      <c r="V6" s="234"/>
      <c r="W6" s="234"/>
      <c r="X6" s="234"/>
      <c r="Y6" s="234"/>
      <c r="Z6" s="234"/>
      <c r="AA6" s="234"/>
      <c r="AB6" s="234"/>
      <c r="AC6" s="235"/>
    </row>
    <row r="7" spans="1:29" x14ac:dyDescent="0.3">
      <c r="A7" s="147"/>
      <c r="B7" s="147"/>
      <c r="C7" s="147"/>
      <c r="D7" s="232"/>
      <c r="E7" s="232"/>
      <c r="F7" s="232"/>
      <c r="G7" s="148"/>
      <c r="H7" s="232"/>
      <c r="I7" s="232"/>
      <c r="J7" s="233"/>
      <c r="K7" s="234"/>
      <c r="L7" s="234"/>
      <c r="M7" s="234"/>
      <c r="N7" s="234"/>
      <c r="O7" s="234"/>
      <c r="P7" s="234"/>
      <c r="Q7" s="234"/>
      <c r="R7" s="234"/>
      <c r="S7" s="235"/>
      <c r="T7" s="233"/>
      <c r="U7" s="234"/>
      <c r="V7" s="234"/>
      <c r="W7" s="234"/>
      <c r="X7" s="234"/>
      <c r="Y7" s="234"/>
      <c r="Z7" s="234"/>
      <c r="AA7" s="234"/>
      <c r="AB7" s="234"/>
      <c r="AC7" s="235"/>
    </row>
    <row r="8" spans="1:29" x14ac:dyDescent="0.3">
      <c r="A8" s="147"/>
      <c r="B8" s="147"/>
      <c r="C8" s="147"/>
      <c r="D8" s="232"/>
      <c r="E8" s="232"/>
      <c r="F8" s="232"/>
      <c r="G8" s="148"/>
      <c r="H8" s="232"/>
      <c r="I8" s="232"/>
      <c r="J8" s="233"/>
      <c r="K8" s="234"/>
      <c r="L8" s="234"/>
      <c r="M8" s="234"/>
      <c r="N8" s="234"/>
      <c r="O8" s="234"/>
      <c r="P8" s="234"/>
      <c r="Q8" s="234"/>
      <c r="R8" s="234"/>
      <c r="S8" s="235"/>
      <c r="T8" s="233"/>
      <c r="U8" s="234"/>
      <c r="V8" s="234"/>
      <c r="W8" s="234"/>
      <c r="X8" s="234"/>
      <c r="Y8" s="234"/>
      <c r="Z8" s="234"/>
      <c r="AA8" s="234"/>
      <c r="AB8" s="234"/>
      <c r="AC8" s="235"/>
    </row>
    <row r="9" spans="1:29" x14ac:dyDescent="0.3">
      <c r="A9" s="147"/>
      <c r="B9" s="147"/>
      <c r="C9" s="147"/>
      <c r="D9" s="232"/>
      <c r="E9" s="232"/>
      <c r="F9" s="232"/>
      <c r="G9" s="148"/>
      <c r="H9" s="232"/>
      <c r="I9" s="232"/>
      <c r="J9" s="233"/>
      <c r="K9" s="234"/>
      <c r="L9" s="234"/>
      <c r="M9" s="234"/>
      <c r="N9" s="234"/>
      <c r="O9" s="234"/>
      <c r="P9" s="234"/>
      <c r="Q9" s="234"/>
      <c r="R9" s="234"/>
      <c r="S9" s="235"/>
      <c r="T9" s="233"/>
      <c r="U9" s="234"/>
      <c r="V9" s="234"/>
      <c r="W9" s="234"/>
      <c r="X9" s="234"/>
      <c r="Y9" s="234"/>
      <c r="Z9" s="234"/>
      <c r="AA9" s="234"/>
      <c r="AB9" s="234"/>
      <c r="AC9" s="235"/>
    </row>
    <row r="10" spans="1:29" x14ac:dyDescent="0.3">
      <c r="A10" s="147"/>
      <c r="B10" s="147"/>
      <c r="C10" s="147"/>
      <c r="D10" s="232"/>
      <c r="E10" s="232"/>
      <c r="F10" s="232"/>
      <c r="G10" s="148"/>
      <c r="H10" s="232"/>
      <c r="I10" s="232"/>
      <c r="J10" s="233"/>
      <c r="K10" s="234"/>
      <c r="L10" s="234"/>
      <c r="M10" s="234"/>
      <c r="N10" s="234"/>
      <c r="O10" s="234"/>
      <c r="P10" s="234"/>
      <c r="Q10" s="234"/>
      <c r="R10" s="234"/>
      <c r="S10" s="235"/>
      <c r="T10" s="233"/>
      <c r="U10" s="234"/>
      <c r="V10" s="234"/>
      <c r="W10" s="234"/>
      <c r="X10" s="234"/>
      <c r="Y10" s="234"/>
      <c r="Z10" s="234"/>
      <c r="AA10" s="234"/>
      <c r="AB10" s="234"/>
      <c r="AC10" s="235"/>
    </row>
    <row r="11" spans="1:29" x14ac:dyDescent="0.3">
      <c r="A11" s="147"/>
      <c r="B11" s="147"/>
      <c r="C11" s="147"/>
      <c r="D11" s="232"/>
      <c r="E11" s="232"/>
      <c r="F11" s="232"/>
      <c r="G11" s="148"/>
      <c r="H11" s="232"/>
      <c r="I11" s="232"/>
      <c r="J11" s="233"/>
      <c r="K11" s="234"/>
      <c r="L11" s="234"/>
      <c r="M11" s="234"/>
      <c r="N11" s="234"/>
      <c r="O11" s="234"/>
      <c r="P11" s="234"/>
      <c r="Q11" s="234"/>
      <c r="R11" s="234"/>
      <c r="S11" s="235"/>
      <c r="T11" s="233"/>
      <c r="U11" s="234"/>
      <c r="V11" s="234"/>
      <c r="W11" s="234"/>
      <c r="X11" s="234"/>
      <c r="Y11" s="234"/>
      <c r="Z11" s="234"/>
      <c r="AA11" s="234"/>
      <c r="AB11" s="234"/>
      <c r="AC11" s="235"/>
    </row>
    <row r="12" spans="1:29" x14ac:dyDescent="0.3">
      <c r="A12" s="147"/>
      <c r="B12" s="147"/>
      <c r="C12" s="147"/>
      <c r="D12" s="232"/>
      <c r="E12" s="232"/>
      <c r="F12" s="232"/>
      <c r="G12" s="148"/>
      <c r="H12" s="232"/>
      <c r="I12" s="232"/>
      <c r="J12" s="233"/>
      <c r="K12" s="234"/>
      <c r="L12" s="234"/>
      <c r="M12" s="234"/>
      <c r="N12" s="234"/>
      <c r="O12" s="234"/>
      <c r="P12" s="234"/>
      <c r="Q12" s="234"/>
      <c r="R12" s="234"/>
      <c r="S12" s="235"/>
      <c r="T12" s="233"/>
      <c r="U12" s="234"/>
      <c r="V12" s="234"/>
      <c r="W12" s="234"/>
      <c r="X12" s="234"/>
      <c r="Y12" s="234"/>
      <c r="Z12" s="234"/>
      <c r="AA12" s="234"/>
      <c r="AB12" s="234"/>
      <c r="AC12" s="235"/>
    </row>
    <row r="13" spans="1:29" x14ac:dyDescent="0.3">
      <c r="A13" s="147"/>
      <c r="B13" s="147"/>
      <c r="C13" s="147"/>
      <c r="D13" s="232"/>
      <c r="E13" s="232"/>
      <c r="F13" s="232"/>
      <c r="G13" s="148"/>
      <c r="H13" s="232"/>
      <c r="I13" s="232"/>
      <c r="J13" s="233"/>
      <c r="K13" s="234"/>
      <c r="L13" s="234"/>
      <c r="M13" s="234"/>
      <c r="N13" s="234"/>
      <c r="O13" s="234"/>
      <c r="P13" s="234"/>
      <c r="Q13" s="234"/>
      <c r="R13" s="234"/>
      <c r="S13" s="235"/>
      <c r="T13" s="233"/>
      <c r="U13" s="234"/>
      <c r="V13" s="234"/>
      <c r="W13" s="234"/>
      <c r="X13" s="234"/>
      <c r="Y13" s="234"/>
      <c r="Z13" s="234"/>
      <c r="AA13" s="234"/>
      <c r="AB13" s="234"/>
      <c r="AC13" s="235"/>
    </row>
    <row r="14" spans="1:29" x14ac:dyDescent="0.3">
      <c r="A14" s="147"/>
      <c r="B14" s="147"/>
      <c r="C14" s="147"/>
      <c r="D14" s="232"/>
      <c r="E14" s="232"/>
      <c r="F14" s="232"/>
      <c r="G14" s="148"/>
      <c r="H14" s="232"/>
      <c r="I14" s="232"/>
      <c r="J14" s="233"/>
      <c r="K14" s="234"/>
      <c r="L14" s="234"/>
      <c r="M14" s="234"/>
      <c r="N14" s="234"/>
      <c r="O14" s="234"/>
      <c r="P14" s="234"/>
      <c r="Q14" s="234"/>
      <c r="R14" s="234"/>
      <c r="S14" s="235"/>
      <c r="T14" s="233"/>
      <c r="U14" s="234"/>
      <c r="V14" s="234"/>
      <c r="W14" s="234"/>
      <c r="X14" s="234"/>
      <c r="Y14" s="234"/>
      <c r="Z14" s="234"/>
      <c r="AA14" s="234"/>
      <c r="AB14" s="234"/>
      <c r="AC14" s="235"/>
    </row>
    <row r="15" spans="1:29" x14ac:dyDescent="0.3">
      <c r="A15" s="147"/>
      <c r="B15" s="147"/>
      <c r="C15" s="147"/>
      <c r="D15" s="232"/>
      <c r="E15" s="232"/>
      <c r="F15" s="232"/>
      <c r="G15" s="148"/>
      <c r="H15" s="232"/>
      <c r="I15" s="232"/>
      <c r="J15" s="233"/>
      <c r="K15" s="234"/>
      <c r="L15" s="234"/>
      <c r="M15" s="234"/>
      <c r="N15" s="234"/>
      <c r="O15" s="234"/>
      <c r="P15" s="234"/>
      <c r="Q15" s="234"/>
      <c r="R15" s="234"/>
      <c r="S15" s="235"/>
      <c r="T15" s="233"/>
      <c r="U15" s="234"/>
      <c r="V15" s="234"/>
      <c r="W15" s="234"/>
      <c r="X15" s="234"/>
      <c r="Y15" s="234"/>
      <c r="Z15" s="234"/>
      <c r="AA15" s="234"/>
      <c r="AB15" s="234"/>
      <c r="AC15" s="235"/>
    </row>
    <row r="16" spans="1:29" x14ac:dyDescent="0.3">
      <c r="A16" s="147"/>
      <c r="B16" s="147"/>
      <c r="C16" s="147"/>
      <c r="D16" s="232"/>
      <c r="E16" s="232"/>
      <c r="F16" s="232"/>
      <c r="G16" s="148"/>
      <c r="H16" s="232"/>
      <c r="I16" s="232"/>
      <c r="J16" s="233"/>
      <c r="K16" s="234"/>
      <c r="L16" s="234"/>
      <c r="M16" s="234"/>
      <c r="N16" s="234"/>
      <c r="O16" s="234"/>
      <c r="P16" s="234"/>
      <c r="Q16" s="234"/>
      <c r="R16" s="234"/>
      <c r="S16" s="235"/>
      <c r="T16" s="233"/>
      <c r="U16" s="234"/>
      <c r="V16" s="234"/>
      <c r="W16" s="234"/>
      <c r="X16" s="234"/>
      <c r="Y16" s="234"/>
      <c r="Z16" s="234"/>
      <c r="AA16" s="234"/>
      <c r="AB16" s="234"/>
      <c r="AC16" s="235"/>
    </row>
    <row r="17" spans="1:29" x14ac:dyDescent="0.3">
      <c r="A17" s="147"/>
      <c r="B17" s="147"/>
      <c r="C17" s="147"/>
      <c r="D17" s="232"/>
      <c r="E17" s="232"/>
      <c r="F17" s="232"/>
      <c r="G17" s="148"/>
      <c r="H17" s="232"/>
      <c r="I17" s="232"/>
      <c r="J17" s="233"/>
      <c r="K17" s="234"/>
      <c r="L17" s="234"/>
      <c r="M17" s="234"/>
      <c r="N17" s="234"/>
      <c r="O17" s="234"/>
      <c r="P17" s="234"/>
      <c r="Q17" s="234"/>
      <c r="R17" s="234"/>
      <c r="S17" s="235"/>
      <c r="T17" s="233"/>
      <c r="U17" s="234"/>
      <c r="V17" s="234"/>
      <c r="W17" s="234"/>
      <c r="X17" s="234"/>
      <c r="Y17" s="234"/>
      <c r="Z17" s="234"/>
      <c r="AA17" s="234"/>
      <c r="AB17" s="234"/>
      <c r="AC17" s="235"/>
    </row>
    <row r="18" spans="1:29" x14ac:dyDescent="0.3">
      <c r="A18" s="147"/>
      <c r="B18" s="147"/>
      <c r="C18" s="147"/>
      <c r="D18" s="232"/>
      <c r="E18" s="232"/>
      <c r="F18" s="232"/>
      <c r="G18" s="148"/>
      <c r="H18" s="232"/>
      <c r="I18" s="232"/>
      <c r="J18" s="233"/>
      <c r="K18" s="234"/>
      <c r="L18" s="234"/>
      <c r="M18" s="234"/>
      <c r="N18" s="234"/>
      <c r="O18" s="234"/>
      <c r="P18" s="234"/>
      <c r="Q18" s="234"/>
      <c r="R18" s="234"/>
      <c r="S18" s="235"/>
      <c r="T18" s="233"/>
      <c r="U18" s="234"/>
      <c r="V18" s="234"/>
      <c r="W18" s="234"/>
      <c r="X18" s="234"/>
      <c r="Y18" s="234"/>
      <c r="Z18" s="234"/>
      <c r="AA18" s="234"/>
      <c r="AB18" s="234"/>
      <c r="AC18" s="235"/>
    </row>
    <row r="19" spans="1:29" x14ac:dyDescent="0.3">
      <c r="A19" s="147"/>
      <c r="B19" s="147"/>
      <c r="C19" s="147"/>
      <c r="D19" s="232"/>
      <c r="E19" s="232"/>
      <c r="F19" s="232"/>
      <c r="G19" s="148"/>
      <c r="H19" s="232"/>
      <c r="I19" s="232"/>
      <c r="J19" s="233"/>
      <c r="K19" s="234"/>
      <c r="L19" s="234"/>
      <c r="M19" s="234"/>
      <c r="N19" s="234"/>
      <c r="O19" s="234"/>
      <c r="P19" s="234"/>
      <c r="Q19" s="234"/>
      <c r="R19" s="234"/>
      <c r="S19" s="235"/>
      <c r="T19" s="233"/>
      <c r="U19" s="234"/>
      <c r="V19" s="234"/>
      <c r="W19" s="234"/>
      <c r="X19" s="234"/>
      <c r="Y19" s="234"/>
      <c r="Z19" s="234"/>
      <c r="AA19" s="234"/>
      <c r="AB19" s="234"/>
      <c r="AC19" s="235"/>
    </row>
    <row r="20" spans="1:29" x14ac:dyDescent="0.3">
      <c r="A20" s="147"/>
      <c r="B20" s="147"/>
      <c r="C20" s="147"/>
      <c r="D20" s="232"/>
      <c r="E20" s="232"/>
      <c r="F20" s="232"/>
      <c r="G20" s="148"/>
      <c r="H20" s="232"/>
      <c r="I20" s="232"/>
      <c r="J20" s="233"/>
      <c r="K20" s="234"/>
      <c r="L20" s="234"/>
      <c r="M20" s="234"/>
      <c r="N20" s="234"/>
      <c r="O20" s="234"/>
      <c r="P20" s="234"/>
      <c r="Q20" s="234"/>
      <c r="R20" s="234"/>
      <c r="S20" s="235"/>
      <c r="T20" s="233"/>
      <c r="U20" s="234"/>
      <c r="V20" s="234"/>
      <c r="W20" s="234"/>
      <c r="X20" s="234"/>
      <c r="Y20" s="234"/>
      <c r="Z20" s="234"/>
      <c r="AA20" s="234"/>
      <c r="AB20" s="234"/>
      <c r="AC20" s="235"/>
    </row>
    <row r="21" spans="1:29" x14ac:dyDescent="0.3">
      <c r="A21" s="147"/>
      <c r="B21" s="147"/>
      <c r="C21" s="147"/>
      <c r="D21" s="232"/>
      <c r="E21" s="232"/>
      <c r="F21" s="232"/>
      <c r="G21" s="148"/>
      <c r="H21" s="232"/>
      <c r="I21" s="232"/>
      <c r="J21" s="233"/>
      <c r="K21" s="234"/>
      <c r="L21" s="234"/>
      <c r="M21" s="234"/>
      <c r="N21" s="234"/>
      <c r="O21" s="234"/>
      <c r="P21" s="234"/>
      <c r="Q21" s="234"/>
      <c r="R21" s="234"/>
      <c r="S21" s="235"/>
      <c r="T21" s="233"/>
      <c r="U21" s="234"/>
      <c r="V21" s="234"/>
      <c r="W21" s="234"/>
      <c r="X21" s="234"/>
      <c r="Y21" s="234"/>
      <c r="Z21" s="234"/>
      <c r="AA21" s="234"/>
      <c r="AB21" s="234"/>
      <c r="AC21" s="235"/>
    </row>
    <row r="22" spans="1:29" x14ac:dyDescent="0.3">
      <c r="A22" s="147"/>
      <c r="B22" s="147"/>
      <c r="C22" s="147"/>
      <c r="D22" s="232"/>
      <c r="E22" s="232"/>
      <c r="F22" s="232"/>
      <c r="G22" s="148"/>
      <c r="H22" s="232"/>
      <c r="I22" s="232"/>
      <c r="J22" s="233"/>
      <c r="K22" s="234"/>
      <c r="L22" s="234"/>
      <c r="M22" s="234"/>
      <c r="N22" s="234"/>
      <c r="O22" s="234"/>
      <c r="P22" s="234"/>
      <c r="Q22" s="234"/>
      <c r="R22" s="234"/>
      <c r="S22" s="235"/>
      <c r="T22" s="233"/>
      <c r="U22" s="234"/>
      <c r="V22" s="234"/>
      <c r="W22" s="234"/>
      <c r="X22" s="234"/>
      <c r="Y22" s="234"/>
      <c r="Z22" s="234"/>
      <c r="AA22" s="234"/>
      <c r="AB22" s="234"/>
      <c r="AC22" s="235"/>
    </row>
    <row r="23" spans="1:29" x14ac:dyDescent="0.3">
      <c r="A23" s="147"/>
      <c r="B23" s="147"/>
      <c r="C23" s="147"/>
      <c r="D23" s="232"/>
      <c r="E23" s="232"/>
      <c r="F23" s="232"/>
      <c r="G23" s="148"/>
      <c r="H23" s="232"/>
      <c r="I23" s="232"/>
      <c r="J23" s="233"/>
      <c r="K23" s="234"/>
      <c r="L23" s="234"/>
      <c r="M23" s="234"/>
      <c r="N23" s="234"/>
      <c r="O23" s="234"/>
      <c r="P23" s="234"/>
      <c r="Q23" s="234"/>
      <c r="R23" s="234"/>
      <c r="S23" s="235"/>
      <c r="T23" s="233"/>
      <c r="U23" s="234"/>
      <c r="V23" s="234"/>
      <c r="W23" s="234"/>
      <c r="X23" s="234"/>
      <c r="Y23" s="234"/>
      <c r="Z23" s="234"/>
      <c r="AA23" s="234"/>
      <c r="AB23" s="234"/>
      <c r="AC23" s="235"/>
    </row>
    <row r="24" spans="1:29" x14ac:dyDescent="0.3">
      <c r="A24" s="147"/>
      <c r="B24" s="147"/>
      <c r="C24" s="147"/>
      <c r="D24" s="232"/>
      <c r="E24" s="232"/>
      <c r="F24" s="232"/>
      <c r="G24" s="148"/>
      <c r="H24" s="232"/>
      <c r="I24" s="232"/>
      <c r="J24" s="233"/>
      <c r="K24" s="234"/>
      <c r="L24" s="234"/>
      <c r="M24" s="234"/>
      <c r="N24" s="234"/>
      <c r="O24" s="234"/>
      <c r="P24" s="234"/>
      <c r="Q24" s="234"/>
      <c r="R24" s="234"/>
      <c r="S24" s="235"/>
      <c r="T24" s="233"/>
      <c r="U24" s="234"/>
      <c r="V24" s="234"/>
      <c r="W24" s="234"/>
      <c r="X24" s="234"/>
      <c r="Y24" s="234"/>
      <c r="Z24" s="234"/>
      <c r="AA24" s="234"/>
      <c r="AB24" s="234"/>
      <c r="AC24" s="235"/>
    </row>
    <row r="25" spans="1:29" x14ac:dyDescent="0.3">
      <c r="A25" s="147"/>
      <c r="B25" s="147"/>
      <c r="C25" s="147"/>
      <c r="D25" s="232"/>
      <c r="E25" s="232"/>
      <c r="F25" s="232"/>
      <c r="G25" s="148"/>
      <c r="H25" s="232"/>
      <c r="I25" s="232"/>
      <c r="J25" s="233"/>
      <c r="K25" s="234"/>
      <c r="L25" s="234"/>
      <c r="M25" s="234"/>
      <c r="N25" s="234"/>
      <c r="O25" s="234"/>
      <c r="P25" s="234"/>
      <c r="Q25" s="234"/>
      <c r="R25" s="234"/>
      <c r="S25" s="235"/>
      <c r="T25" s="233"/>
      <c r="U25" s="234"/>
      <c r="V25" s="234"/>
      <c r="W25" s="234"/>
      <c r="X25" s="234"/>
      <c r="Y25" s="234"/>
      <c r="Z25" s="234"/>
      <c r="AA25" s="234"/>
      <c r="AB25" s="234"/>
      <c r="AC25" s="235"/>
    </row>
  </sheetData>
  <mergeCells count="92">
    <mergeCell ref="D3:F3"/>
    <mergeCell ref="H3:I3"/>
    <mergeCell ref="J3:S3"/>
    <mergeCell ref="T3:AC3"/>
    <mergeCell ref="D4:F4"/>
    <mergeCell ref="H4:I4"/>
    <mergeCell ref="J4:S4"/>
    <mergeCell ref="T4:AC4"/>
    <mergeCell ref="D5:F5"/>
    <mergeCell ref="H5:I5"/>
    <mergeCell ref="J5:S5"/>
    <mergeCell ref="T5:AC5"/>
    <mergeCell ref="D6:F6"/>
    <mergeCell ref="H6:I6"/>
    <mergeCell ref="J6:S6"/>
    <mergeCell ref="T6:AC6"/>
    <mergeCell ref="D7:F7"/>
    <mergeCell ref="H7:I7"/>
    <mergeCell ref="J7:S7"/>
    <mergeCell ref="T7:AC7"/>
    <mergeCell ref="D8:F8"/>
    <mergeCell ref="H8:I8"/>
    <mergeCell ref="J8:S8"/>
    <mergeCell ref="T8:AC8"/>
    <mergeCell ref="D9:F9"/>
    <mergeCell ref="H9:I9"/>
    <mergeCell ref="J9:S9"/>
    <mergeCell ref="T9:AC9"/>
    <mergeCell ref="D10:F10"/>
    <mergeCell ref="H10:I10"/>
    <mergeCell ref="J10:S10"/>
    <mergeCell ref="T10:AC10"/>
    <mergeCell ref="D11:F11"/>
    <mergeCell ref="H11:I11"/>
    <mergeCell ref="J11:S11"/>
    <mergeCell ref="T11:AC11"/>
    <mergeCell ref="D12:F12"/>
    <mergeCell ref="H12:I12"/>
    <mergeCell ref="J12:S12"/>
    <mergeCell ref="T12:AC12"/>
    <mergeCell ref="D13:F13"/>
    <mergeCell ref="H13:I13"/>
    <mergeCell ref="J13:S13"/>
    <mergeCell ref="T13:AC13"/>
    <mergeCell ref="D14:F14"/>
    <mergeCell ref="H14:I14"/>
    <mergeCell ref="J14:S14"/>
    <mergeCell ref="T14:AC14"/>
    <mergeCell ref="D15:F15"/>
    <mergeCell ref="H15:I15"/>
    <mergeCell ref="J15:S15"/>
    <mergeCell ref="T15:AC15"/>
    <mergeCell ref="D16:F16"/>
    <mergeCell ref="H16:I16"/>
    <mergeCell ref="J16:S16"/>
    <mergeCell ref="T16:AC16"/>
    <mergeCell ref="D17:F17"/>
    <mergeCell ref="H17:I17"/>
    <mergeCell ref="J17:S17"/>
    <mergeCell ref="T17:AC17"/>
    <mergeCell ref="D18:F18"/>
    <mergeCell ref="H18:I18"/>
    <mergeCell ref="J18:S18"/>
    <mergeCell ref="T18:AC18"/>
    <mergeCell ref="D19:F19"/>
    <mergeCell ref="H19:I19"/>
    <mergeCell ref="J19:S19"/>
    <mergeCell ref="T19:AC19"/>
    <mergeCell ref="D20:F20"/>
    <mergeCell ref="H20:I20"/>
    <mergeCell ref="J20:S20"/>
    <mergeCell ref="T20:AC20"/>
    <mergeCell ref="D21:F21"/>
    <mergeCell ref="H21:I21"/>
    <mergeCell ref="J21:S21"/>
    <mergeCell ref="T21:AC21"/>
    <mergeCell ref="D22:F22"/>
    <mergeCell ref="H22:I22"/>
    <mergeCell ref="J22:S22"/>
    <mergeCell ref="T22:AC22"/>
    <mergeCell ref="D25:F25"/>
    <mergeCell ref="H25:I25"/>
    <mergeCell ref="J25:S25"/>
    <mergeCell ref="T25:AC25"/>
    <mergeCell ref="D23:F23"/>
    <mergeCell ref="H23:I23"/>
    <mergeCell ref="J23:S23"/>
    <mergeCell ref="T23:AC23"/>
    <mergeCell ref="D24:F24"/>
    <mergeCell ref="H24:I24"/>
    <mergeCell ref="J24:S24"/>
    <mergeCell ref="T24:AC2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17FD4C-0D98-4C6A-941D-AD2E77F4FA1F}">
          <x14:formula1>
            <xm:f>'Training validation sheet'!$B$3:$B$12</xm:f>
          </x14:formula1>
          <xm:sqref>C4:C25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6BB5-2A04-4D69-9AE8-B4CD1FBB0CBB}">
  <dimension ref="B1:G12"/>
  <sheetViews>
    <sheetView workbookViewId="0">
      <selection activeCell="H6" sqref="H6"/>
    </sheetView>
  </sheetViews>
  <sheetFormatPr defaultRowHeight="14.4" x14ac:dyDescent="0.3"/>
  <cols>
    <col min="2" max="2" width="36.33203125" customWidth="1"/>
    <col min="5" max="5" width="16.33203125" bestFit="1" customWidth="1"/>
  </cols>
  <sheetData>
    <row r="1" spans="2:7" x14ac:dyDescent="0.3">
      <c r="E1" t="s">
        <v>242</v>
      </c>
    </row>
    <row r="2" spans="2:7" x14ac:dyDescent="0.3">
      <c r="B2" t="s">
        <v>243</v>
      </c>
      <c r="E2" t="s">
        <v>244</v>
      </c>
      <c r="G2">
        <v>1</v>
      </c>
    </row>
    <row r="3" spans="2:7" x14ac:dyDescent="0.3">
      <c r="B3" t="s">
        <v>245</v>
      </c>
      <c r="E3" t="s">
        <v>246</v>
      </c>
      <c r="G3">
        <v>0</v>
      </c>
    </row>
    <row r="4" spans="2:7" x14ac:dyDescent="0.3">
      <c r="B4" t="s">
        <v>247</v>
      </c>
    </row>
    <row r="5" spans="2:7" x14ac:dyDescent="0.3">
      <c r="B5" t="s">
        <v>248</v>
      </c>
    </row>
    <row r="6" spans="2:7" x14ac:dyDescent="0.3">
      <c r="B6" t="s">
        <v>249</v>
      </c>
    </row>
    <row r="7" spans="2:7" x14ac:dyDescent="0.3">
      <c r="B7" t="s">
        <v>250</v>
      </c>
    </row>
    <row r="8" spans="2:7" x14ac:dyDescent="0.3">
      <c r="B8" t="s">
        <v>251</v>
      </c>
    </row>
    <row r="9" spans="2:7" x14ac:dyDescent="0.3">
      <c r="B9" t="s">
        <v>252</v>
      </c>
    </row>
    <row r="10" spans="2:7" x14ac:dyDescent="0.3">
      <c r="B10" t="s">
        <v>253</v>
      </c>
    </row>
    <row r="11" spans="2:7" x14ac:dyDescent="0.3">
      <c r="B11" t="s">
        <v>254</v>
      </c>
    </row>
    <row r="12" spans="2:7" x14ac:dyDescent="0.3">
      <c r="B12" t="s">
        <v>255</v>
      </c>
    </row>
  </sheetData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2C9F-2430-48BB-B45C-35DFA63EC07C}">
  <sheetPr>
    <tabColor theme="1"/>
  </sheetPr>
  <dimension ref="B2:V110"/>
  <sheetViews>
    <sheetView topLeftCell="A73" workbookViewId="0">
      <selection activeCell="M107" sqref="M107"/>
    </sheetView>
  </sheetViews>
  <sheetFormatPr defaultColWidth="8.6640625" defaultRowHeight="14.4" x14ac:dyDescent="0.3"/>
  <cols>
    <col min="1" max="1" width="4.6640625" style="151" customWidth="1"/>
    <col min="2" max="2" width="12.109375" style="151" bestFit="1" customWidth="1"/>
    <col min="3" max="3" width="7.44140625" style="151" bestFit="1" customWidth="1"/>
    <col min="4" max="4" width="8" style="151" bestFit="1" customWidth="1"/>
    <col min="5" max="5" width="7.88671875" style="151" customWidth="1"/>
    <col min="6" max="6" width="11.109375" style="151" customWidth="1"/>
    <col min="7" max="7" width="20.6640625" style="151" customWidth="1"/>
    <col min="8" max="8" width="11.5546875" style="151" bestFit="1" customWidth="1"/>
    <col min="9" max="9" width="13.44140625" style="151" bestFit="1" customWidth="1"/>
    <col min="10" max="10" width="9.44140625" style="151" bestFit="1" customWidth="1"/>
    <col min="11" max="11" width="16.88671875" style="151" bestFit="1" customWidth="1"/>
    <col min="12" max="12" width="12.44140625" style="151" bestFit="1" customWidth="1"/>
    <col min="13" max="13" width="31.109375" style="151" bestFit="1" customWidth="1"/>
    <col min="14" max="14" width="16" style="151" customWidth="1"/>
    <col min="15" max="15" width="6.88671875" style="151" customWidth="1"/>
    <col min="16" max="16" width="9.88671875" style="151" customWidth="1"/>
    <col min="17" max="17" width="7.109375" style="151" customWidth="1"/>
    <col min="18" max="18" width="12" style="151" bestFit="1" customWidth="1"/>
    <col min="19" max="19" width="35" style="151" customWidth="1"/>
    <col min="20" max="20" width="48.44140625" style="151" customWidth="1"/>
    <col min="21" max="21" width="22.88671875" style="151" customWidth="1"/>
    <col min="22" max="22" width="40.33203125" style="151" customWidth="1"/>
    <col min="23" max="16384" width="8.6640625" style="151"/>
  </cols>
  <sheetData>
    <row r="2" spans="2:22" x14ac:dyDescent="0.3">
      <c r="B2" s="152" t="s">
        <v>136</v>
      </c>
      <c r="C2" s="152" t="s">
        <v>138</v>
      </c>
      <c r="D2" s="152" t="s">
        <v>256</v>
      </c>
      <c r="E2" s="152" t="s">
        <v>140</v>
      </c>
      <c r="F2" s="152" t="s">
        <v>257</v>
      </c>
      <c r="G2" s="152" t="s">
        <v>258</v>
      </c>
      <c r="H2" s="152" t="s">
        <v>231</v>
      </c>
      <c r="I2" s="152" t="s">
        <v>228</v>
      </c>
      <c r="J2" s="152" t="s">
        <v>143</v>
      </c>
      <c r="K2" s="150" t="s">
        <v>259</v>
      </c>
      <c r="L2" s="150" t="s">
        <v>260</v>
      </c>
      <c r="M2" s="150" t="s">
        <v>220</v>
      </c>
      <c r="N2" s="150" t="s">
        <v>261</v>
      </c>
      <c r="O2" s="150" t="s">
        <v>262</v>
      </c>
      <c r="P2" s="150" t="s">
        <v>153</v>
      </c>
      <c r="Q2" s="150" t="s">
        <v>154</v>
      </c>
      <c r="R2" s="150" t="s">
        <v>263</v>
      </c>
      <c r="S2" s="150" t="s">
        <v>264</v>
      </c>
      <c r="T2" s="150" t="s">
        <v>265</v>
      </c>
      <c r="U2" s="150" t="s">
        <v>266</v>
      </c>
      <c r="V2" s="150" t="s">
        <v>267</v>
      </c>
    </row>
    <row r="3" spans="2:22" x14ac:dyDescent="0.3">
      <c r="B3" s="153" t="str">
        <f>Before!E$3</f>
        <v>Monthly DQA</v>
      </c>
      <c r="C3" s="153" t="str">
        <f>Before!G$3</f>
        <v>DS-TB</v>
      </c>
      <c r="D3" s="153" t="str">
        <f>Before!C$3</f>
        <v>Before</v>
      </c>
      <c r="E3" s="153" t="str">
        <f>Before!$C$4</f>
        <v>Zolile Nonzapa</v>
      </c>
      <c r="F3" s="154">
        <f>Before!$C$5</f>
        <v>0</v>
      </c>
      <c r="G3" s="153">
        <f>Before!$E$6</f>
        <v>0</v>
      </c>
      <c r="H3" s="153">
        <f>Before!$E$5</f>
        <v>0</v>
      </c>
      <c r="I3" s="153">
        <f>Before!$E$4</f>
        <v>0</v>
      </c>
      <c r="J3" s="153" t="str">
        <f>Before!G$5</f>
        <v>doh</v>
      </c>
      <c r="K3" s="151" t="s">
        <v>268</v>
      </c>
      <c r="L3" s="151" t="s">
        <v>155</v>
      </c>
      <c r="M3" s="151" t="str">
        <f>Before!B12</f>
        <v>Headcount</v>
      </c>
      <c r="N3" s="151">
        <f>Before!C12</f>
        <v>0</v>
      </c>
      <c r="O3" s="151">
        <f>Before!E12</f>
        <v>0</v>
      </c>
      <c r="P3" s="151">
        <f>Before!I12</f>
        <v>0</v>
      </c>
      <c r="Q3" s="151">
        <f>Before!M12</f>
        <v>0</v>
      </c>
    </row>
    <row r="4" spans="2:22" x14ac:dyDescent="0.3">
      <c r="B4" s="153" t="str">
        <f>Before!E$3</f>
        <v>Monthly DQA</v>
      </c>
      <c r="C4" s="153" t="str">
        <f>Before!G$3</f>
        <v>DS-TB</v>
      </c>
      <c r="D4" s="153" t="str">
        <f>Before!C$3</f>
        <v>Before</v>
      </c>
      <c r="E4" s="153" t="str">
        <f>Before!$C$4</f>
        <v>Zolile Nonzapa</v>
      </c>
      <c r="F4" s="154">
        <f>Before!$C$5</f>
        <v>0</v>
      </c>
      <c r="G4" s="153">
        <f>Before!$E$6</f>
        <v>0</v>
      </c>
      <c r="H4" s="153">
        <f>Before!$E$5</f>
        <v>0</v>
      </c>
      <c r="I4" s="153">
        <f>Before!$E$4</f>
        <v>0</v>
      </c>
      <c r="J4" s="153" t="str">
        <f>Before!G$5</f>
        <v>doh</v>
      </c>
      <c r="K4" s="151" t="s">
        <v>268</v>
      </c>
      <c r="L4" s="151" t="s">
        <v>155</v>
      </c>
      <c r="M4" s="151" t="str">
        <f>Before!B13</f>
        <v>TB screening</v>
      </c>
      <c r="N4" s="151">
        <f>Before!C13</f>
        <v>330</v>
      </c>
      <c r="O4" s="151">
        <f>Before!E13</f>
        <v>330</v>
      </c>
      <c r="P4" s="151">
        <f>Before!I13</f>
        <v>0</v>
      </c>
      <c r="Q4" s="151">
        <f>Before!M13</f>
        <v>0</v>
      </c>
    </row>
    <row r="5" spans="2:22" x14ac:dyDescent="0.3">
      <c r="B5" s="153" t="str">
        <f>Before!E$3</f>
        <v>Monthly DQA</v>
      </c>
      <c r="C5" s="153" t="str">
        <f>Before!G$3</f>
        <v>DS-TB</v>
      </c>
      <c r="D5" s="153" t="str">
        <f>Before!C$3</f>
        <v>Before</v>
      </c>
      <c r="E5" s="153" t="str">
        <f>Before!$C$4</f>
        <v>Zolile Nonzapa</v>
      </c>
      <c r="F5" s="154">
        <f>Before!$C$5</f>
        <v>0</v>
      </c>
      <c r="G5" s="153">
        <f>Before!$E$6</f>
        <v>0</v>
      </c>
      <c r="H5" s="153">
        <f>Before!$E$5</f>
        <v>0</v>
      </c>
      <c r="I5" s="153">
        <f>Before!$E$4</f>
        <v>0</v>
      </c>
      <c r="J5" s="153" t="str">
        <f>Before!G$5</f>
        <v>doh</v>
      </c>
      <c r="K5" s="151" t="s">
        <v>268</v>
      </c>
      <c r="L5" s="151" t="s">
        <v>155</v>
      </c>
      <c r="M5" s="151" t="str">
        <f>Before!B15</f>
        <v>Client eligible for TB  test</v>
      </c>
      <c r="N5" s="151">
        <f>Before!C15</f>
        <v>0</v>
      </c>
      <c r="O5" s="151">
        <f>Before!E15</f>
        <v>0</v>
      </c>
      <c r="P5" s="151">
        <f>Before!I15</f>
        <v>0</v>
      </c>
      <c r="Q5" s="151">
        <f>Before!M15</f>
        <v>0</v>
      </c>
    </row>
    <row r="6" spans="2:22" x14ac:dyDescent="0.3">
      <c r="B6" s="153" t="str">
        <f>Before!E$3</f>
        <v>Monthly DQA</v>
      </c>
      <c r="C6" s="153" t="str">
        <f>Before!G$3</f>
        <v>DS-TB</v>
      </c>
      <c r="D6" s="153" t="str">
        <f>Before!C$3</f>
        <v>Before</v>
      </c>
      <c r="E6" s="153" t="str">
        <f>Before!$C$4</f>
        <v>Zolile Nonzapa</v>
      </c>
      <c r="F6" s="154">
        <f>Before!$C$5</f>
        <v>0</v>
      </c>
      <c r="G6" s="153">
        <f>Before!$E$6</f>
        <v>0</v>
      </c>
      <c r="H6" s="153">
        <f>Before!$E$5</f>
        <v>0</v>
      </c>
      <c r="I6" s="153">
        <f>Before!$E$4</f>
        <v>0</v>
      </c>
      <c r="J6" s="153" t="str">
        <f>Before!G$5</f>
        <v>doh</v>
      </c>
      <c r="K6" s="151" t="s">
        <v>268</v>
      </c>
      <c r="L6" s="151" t="s">
        <v>155</v>
      </c>
      <c r="M6" s="151" t="str">
        <f>Before!B17</f>
        <v>TB test using GeneXpert</v>
      </c>
      <c r="N6" s="151">
        <f>Before!C17</f>
        <v>0</v>
      </c>
      <c r="O6" s="151">
        <f>Before!E17</f>
        <v>0</v>
      </c>
      <c r="P6" s="151">
        <f>Before!I17</f>
        <v>0</v>
      </c>
      <c r="Q6" s="151">
        <f>Before!M17</f>
        <v>0</v>
      </c>
    </row>
    <row r="7" spans="2:22" x14ac:dyDescent="0.3">
      <c r="B7" s="153" t="str">
        <f>Before!E$3</f>
        <v>Monthly DQA</v>
      </c>
      <c r="C7" s="153" t="str">
        <f>Before!G$3</f>
        <v>DS-TB</v>
      </c>
      <c r="D7" s="153" t="str">
        <f>Before!C$3</f>
        <v>Before</v>
      </c>
      <c r="E7" s="153" t="str">
        <f>Before!$C$4</f>
        <v>Zolile Nonzapa</v>
      </c>
      <c r="F7" s="154">
        <f>Before!$C$5</f>
        <v>0</v>
      </c>
      <c r="G7" s="153">
        <f>Before!$E$6</f>
        <v>0</v>
      </c>
      <c r="H7" s="153">
        <f>Before!$E$5</f>
        <v>0</v>
      </c>
      <c r="I7" s="153">
        <f>Before!$E$4</f>
        <v>0</v>
      </c>
      <c r="J7" s="153" t="str">
        <f>Before!G$5</f>
        <v>doh</v>
      </c>
      <c r="K7" s="151" t="s">
        <v>268</v>
      </c>
      <c r="L7" s="151" t="s">
        <v>155</v>
      </c>
      <c r="M7" s="151" t="str">
        <f>Before!B18</f>
        <v xml:space="preserve">DS-TB clinically diagnosed </v>
      </c>
      <c r="N7" s="151">
        <f>Before!C18</f>
        <v>0</v>
      </c>
      <c r="O7" s="151">
        <f>Before!E18</f>
        <v>0</v>
      </c>
      <c r="P7" s="151">
        <f>Before!I18</f>
        <v>0</v>
      </c>
      <c r="Q7" s="151">
        <f>Before!M18</f>
        <v>0</v>
      </c>
    </row>
    <row r="8" spans="2:22" x14ac:dyDescent="0.3">
      <c r="B8" s="153" t="str">
        <f>Before!E$3</f>
        <v>Monthly DQA</v>
      </c>
      <c r="C8" s="153" t="str">
        <f>Before!G$3</f>
        <v>DS-TB</v>
      </c>
      <c r="D8" s="153" t="str">
        <f>Before!C$3</f>
        <v>Before</v>
      </c>
      <c r="E8" s="153" t="str">
        <f>Before!$C$4</f>
        <v>Zolile Nonzapa</v>
      </c>
      <c r="F8" s="154">
        <f>Before!$C$5</f>
        <v>0</v>
      </c>
      <c r="G8" s="153">
        <f>Before!$E$6</f>
        <v>0</v>
      </c>
      <c r="H8" s="153">
        <f>Before!$E$5</f>
        <v>0</v>
      </c>
      <c r="I8" s="153">
        <f>Before!$E$4</f>
        <v>0</v>
      </c>
      <c r="J8" s="153" t="str">
        <f>Before!G$5</f>
        <v>doh</v>
      </c>
      <c r="K8" s="151" t="s">
        <v>268</v>
      </c>
      <c r="L8" s="151" t="s">
        <v>155</v>
      </c>
      <c r="M8" s="151" t="str">
        <f>Before!B19</f>
        <v xml:space="preserve">DS-TB Bacteriologically confirmed </v>
      </c>
      <c r="N8" s="151">
        <f>Before!C19</f>
        <v>0</v>
      </c>
      <c r="O8" s="151">
        <f>Before!E19</f>
        <v>0</v>
      </c>
      <c r="P8" s="151">
        <f>Before!I19</f>
        <v>0</v>
      </c>
      <c r="Q8" s="151">
        <f>Before!M19</f>
        <v>0</v>
      </c>
    </row>
    <row r="9" spans="2:22" x14ac:dyDescent="0.3">
      <c r="B9" s="153" t="str">
        <f>Before!E$3</f>
        <v>Monthly DQA</v>
      </c>
      <c r="C9" s="153" t="str">
        <f>Before!G$3</f>
        <v>DS-TB</v>
      </c>
      <c r="D9" s="153" t="str">
        <f>Before!C$3</f>
        <v>Before</v>
      </c>
      <c r="E9" s="153" t="str">
        <f>Before!$C$4</f>
        <v>Zolile Nonzapa</v>
      </c>
      <c r="F9" s="154">
        <f>Before!$C$5</f>
        <v>0</v>
      </c>
      <c r="G9" s="153">
        <f>Before!$E$6</f>
        <v>0</v>
      </c>
      <c r="H9" s="153">
        <f>Before!$E$5</f>
        <v>0</v>
      </c>
      <c r="I9" s="153">
        <f>Before!$E$4</f>
        <v>0</v>
      </c>
      <c r="J9" s="153" t="str">
        <f>Before!G$5</f>
        <v>doh</v>
      </c>
      <c r="K9" s="151" t="s">
        <v>268</v>
      </c>
      <c r="L9" s="151" t="s">
        <v>155</v>
      </c>
      <c r="M9" s="151" t="str">
        <f>Before!B20</f>
        <v>RR-TB bacteriologically confirmed</v>
      </c>
      <c r="N9" s="151">
        <f>Before!C20</f>
        <v>0</v>
      </c>
      <c r="O9" s="151">
        <f>Before!E20</f>
        <v>0</v>
      </c>
      <c r="P9" s="151">
        <f>Before!I20</f>
        <v>0</v>
      </c>
      <c r="Q9" s="151">
        <f>Before!M20</f>
        <v>0</v>
      </c>
    </row>
    <row r="10" spans="2:22" x14ac:dyDescent="0.3">
      <c r="B10" s="153" t="str">
        <f>Before!E$3</f>
        <v>Monthly DQA</v>
      </c>
      <c r="C10" s="153" t="str">
        <f>Before!G$3</f>
        <v>DS-TB</v>
      </c>
      <c r="D10" s="153" t="str">
        <f>Before!C$3</f>
        <v>Before</v>
      </c>
      <c r="E10" s="153" t="str">
        <f>Before!$C$4</f>
        <v>Zolile Nonzapa</v>
      </c>
      <c r="F10" s="154">
        <f>Before!$C$5</f>
        <v>0</v>
      </c>
      <c r="G10" s="153">
        <f>Before!$E$6</f>
        <v>0</v>
      </c>
      <c r="H10" s="153">
        <f>Before!$E$5</f>
        <v>0</v>
      </c>
      <c r="I10" s="153">
        <f>Before!$E$4</f>
        <v>0</v>
      </c>
      <c r="J10" s="153" t="str">
        <f>Before!G$5</f>
        <v>doh</v>
      </c>
      <c r="K10" s="151" t="s">
        <v>268</v>
      </c>
      <c r="L10" s="151" t="s">
        <v>155</v>
      </c>
      <c r="M10" s="151" t="str">
        <f>Before!B22</f>
        <v>DSTB treatment start</v>
      </c>
      <c r="N10" s="151">
        <f>Before!C22</f>
        <v>0</v>
      </c>
      <c r="O10" s="151">
        <f>Before!E22</f>
        <v>0</v>
      </c>
      <c r="P10" s="151">
        <f>Before!I22</f>
        <v>1</v>
      </c>
      <c r="Q10" s="151">
        <f>Before!M22</f>
        <v>0</v>
      </c>
    </row>
    <row r="11" spans="2:22" x14ac:dyDescent="0.3">
      <c r="B11" s="153" t="str">
        <f>Before!E$3</f>
        <v>Monthly DQA</v>
      </c>
      <c r="C11" s="153" t="str">
        <f>Before!G$3</f>
        <v>DS-TB</v>
      </c>
      <c r="D11" s="153" t="str">
        <f>Before!C$3</f>
        <v>Before</v>
      </c>
      <c r="E11" s="153" t="str">
        <f>Before!$C$4</f>
        <v>Zolile Nonzapa</v>
      </c>
      <c r="F11" s="154">
        <f>Before!$C$5</f>
        <v>0</v>
      </c>
      <c r="G11" s="153">
        <f>Before!$E$6</f>
        <v>0</v>
      </c>
      <c r="H11" s="153">
        <f>Before!$E$5</f>
        <v>0</v>
      </c>
      <c r="I11" s="153">
        <f>Before!$E$4</f>
        <v>0</v>
      </c>
      <c r="J11" s="153" t="str">
        <f>Before!G$5</f>
        <v>doh</v>
      </c>
      <c r="K11" s="151" t="s">
        <v>268</v>
      </c>
      <c r="L11" s="151" t="s">
        <v>155</v>
      </c>
      <c r="M11" s="151" t="str">
        <f>Before!B24</f>
        <v>Number initial lost to follow-up</v>
      </c>
      <c r="N11" s="151">
        <f>Before!C24</f>
        <v>0</v>
      </c>
      <c r="O11" s="151">
        <f>Before!E24</f>
        <v>0</v>
      </c>
      <c r="P11" s="151">
        <f>Before!I24</f>
        <v>-1</v>
      </c>
      <c r="Q11" s="151">
        <f>Before!M24</f>
        <v>0</v>
      </c>
    </row>
    <row r="12" spans="2:22" x14ac:dyDescent="0.3">
      <c r="B12" s="153" t="str">
        <f>Before!E$3</f>
        <v>Monthly DQA</v>
      </c>
      <c r="C12" s="153" t="str">
        <f>Before!G$3</f>
        <v>DS-TB</v>
      </c>
      <c r="D12" s="153" t="str">
        <f>Before!C$3</f>
        <v>Before</v>
      </c>
      <c r="E12" s="153" t="str">
        <f>Before!$C$4</f>
        <v>Zolile Nonzapa</v>
      </c>
      <c r="F12" s="154">
        <f>Before!$C$5</f>
        <v>0</v>
      </c>
      <c r="G12" s="153">
        <f>Before!$E$6</f>
        <v>0</v>
      </c>
      <c r="H12" s="153">
        <f>Before!$E$5</f>
        <v>0</v>
      </c>
      <c r="I12" s="153">
        <f>Before!$E$4</f>
        <v>0</v>
      </c>
      <c r="J12" s="153" t="str">
        <f>Before!G$5</f>
        <v>doh</v>
      </c>
      <c r="K12" s="151" t="s">
        <v>268</v>
      </c>
      <c r="L12" s="151" t="s">
        <v>155</v>
      </c>
      <c r="M12" s="151" t="str">
        <f>Before!B27</f>
        <v>NHLS ALERTS DS-TB</v>
      </c>
      <c r="N12" s="151">
        <f>Before!C27</f>
        <v>0</v>
      </c>
      <c r="O12" s="151">
        <f>Before!E27</f>
        <v>0</v>
      </c>
      <c r="P12" s="151">
        <f>Before!I27</f>
        <v>0</v>
      </c>
      <c r="Q12" s="151">
        <f>Before!M27</f>
        <v>0</v>
      </c>
    </row>
    <row r="13" spans="2:22" x14ac:dyDescent="0.3">
      <c r="B13" s="153" t="str">
        <f>Before!E$3</f>
        <v>Monthly DQA</v>
      </c>
      <c r="C13" s="153" t="str">
        <f>Before!G$3</f>
        <v>DS-TB</v>
      </c>
      <c r="D13" s="153" t="str">
        <f>Before!C$3</f>
        <v>Before</v>
      </c>
      <c r="E13" s="153" t="str">
        <f>Before!$C$4</f>
        <v>Zolile Nonzapa</v>
      </c>
      <c r="F13" s="154">
        <f>Before!$C$5</f>
        <v>0</v>
      </c>
      <c r="G13" s="153">
        <f>Before!$E$6</f>
        <v>0</v>
      </c>
      <c r="H13" s="153">
        <f>Before!$E$5</f>
        <v>0</v>
      </c>
      <c r="I13" s="153">
        <f>Before!$E$4</f>
        <v>0</v>
      </c>
      <c r="J13" s="153" t="str">
        <f>Before!G$5</f>
        <v>doh</v>
      </c>
      <c r="K13" s="151" t="s">
        <v>269</v>
      </c>
      <c r="L13" s="151" t="s">
        <v>155</v>
      </c>
      <c r="M13" s="151" t="str">
        <f>Before!B32</f>
        <v xml:space="preserve">TB contact </v>
      </c>
      <c r="N13" s="151">
        <f>Before!C32</f>
        <v>0</v>
      </c>
      <c r="O13" s="151">
        <f>Before!E32</f>
        <v>0</v>
      </c>
      <c r="P13" s="151">
        <f>Before!I32</f>
        <v>0</v>
      </c>
      <c r="Q13" s="151">
        <f>Before!M32</f>
        <v>0</v>
      </c>
    </row>
    <row r="14" spans="2:22" x14ac:dyDescent="0.3">
      <c r="B14" s="153" t="str">
        <f>Before!E$3</f>
        <v>Monthly DQA</v>
      </c>
      <c r="C14" s="153" t="str">
        <f>Before!G$3</f>
        <v>DS-TB</v>
      </c>
      <c r="D14" s="153" t="str">
        <f>Before!C$3</f>
        <v>Before</v>
      </c>
      <c r="E14" s="153" t="str">
        <f>Before!$C$4</f>
        <v>Zolile Nonzapa</v>
      </c>
      <c r="F14" s="154">
        <f>Before!$C$5</f>
        <v>0</v>
      </c>
      <c r="G14" s="153">
        <f>Before!$E$6</f>
        <v>0</v>
      </c>
      <c r="H14" s="153">
        <f>Before!$E$5</f>
        <v>0</v>
      </c>
      <c r="I14" s="153">
        <f>Before!$E$4</f>
        <v>0</v>
      </c>
      <c r="J14" s="153" t="str">
        <f>Before!G$5</f>
        <v>doh</v>
      </c>
      <c r="K14" s="151" t="s">
        <v>269</v>
      </c>
      <c r="L14" s="151" t="s">
        <v>155</v>
      </c>
      <c r="M14" s="151" t="str">
        <f>Before!B33</f>
        <v>TB contact start on TPT</v>
      </c>
      <c r="N14" s="151">
        <f>Before!C33</f>
        <v>0</v>
      </c>
      <c r="O14" s="151">
        <f>Before!E33</f>
        <v>0</v>
      </c>
      <c r="P14" s="151">
        <f>Before!I33</f>
        <v>0</v>
      </c>
      <c r="Q14" s="151">
        <f>Before!M33</f>
        <v>0</v>
      </c>
    </row>
    <row r="15" spans="2:22" x14ac:dyDescent="0.3">
      <c r="B15" s="153" t="str">
        <f>Before!E$3</f>
        <v>Monthly DQA</v>
      </c>
      <c r="C15" s="153" t="str">
        <f>Before!G$3</f>
        <v>DS-TB</v>
      </c>
      <c r="D15" s="153" t="str">
        <f>Before!C$3</f>
        <v>Before</v>
      </c>
      <c r="E15" s="153" t="str">
        <f>Before!$C$4</f>
        <v>Zolile Nonzapa</v>
      </c>
      <c r="F15" s="154">
        <f>Before!$C$5</f>
        <v>0</v>
      </c>
      <c r="G15" s="153">
        <f>Before!$E$6</f>
        <v>0</v>
      </c>
      <c r="H15" s="153">
        <f>Before!$E$5</f>
        <v>0</v>
      </c>
      <c r="I15" s="153">
        <f>Before!$E$4</f>
        <v>0</v>
      </c>
      <c r="J15" s="153" t="str">
        <f>Before!G$5</f>
        <v>doh</v>
      </c>
      <c r="K15" s="151" t="s">
        <v>269</v>
      </c>
      <c r="L15" s="151" t="s">
        <v>270</v>
      </c>
      <c r="M15" s="151" t="str">
        <f>Before!B36</f>
        <v>PLWHIV on ART eligible for TPT</v>
      </c>
      <c r="N15" s="151">
        <f>Before!D36</f>
        <v>0</v>
      </c>
      <c r="O15" s="151">
        <f>Before!F36</f>
        <v>0</v>
      </c>
      <c r="P15" s="151">
        <f>Before!J36</f>
        <v>0</v>
      </c>
      <c r="Q15" s="151">
        <f>Before!N36</f>
        <v>0</v>
      </c>
    </row>
    <row r="16" spans="2:22" x14ac:dyDescent="0.3">
      <c r="B16" s="153" t="str">
        <f>Before!E$3</f>
        <v>Monthly DQA</v>
      </c>
      <c r="C16" s="153" t="str">
        <f>Before!G$3</f>
        <v>DS-TB</v>
      </c>
      <c r="D16" s="153" t="str">
        <f>Before!C$3</f>
        <v>Before</v>
      </c>
      <c r="E16" s="153" t="str">
        <f>Before!$C$4</f>
        <v>Zolile Nonzapa</v>
      </c>
      <c r="F16" s="154">
        <f>Before!$C$5</f>
        <v>0</v>
      </c>
      <c r="G16" s="153">
        <f>Before!$E$6</f>
        <v>0</v>
      </c>
      <c r="H16" s="153">
        <f>Before!$E$5</f>
        <v>0</v>
      </c>
      <c r="I16" s="153">
        <f>Before!$E$4</f>
        <v>0</v>
      </c>
      <c r="J16" s="153" t="str">
        <f>Before!G$5</f>
        <v>doh</v>
      </c>
      <c r="K16" s="151" t="s">
        <v>269</v>
      </c>
      <c r="L16" s="151" t="s">
        <v>270</v>
      </c>
      <c r="M16" s="151" t="str">
        <f>Before!B37</f>
        <v>PLWHIV on ART started TPT</v>
      </c>
      <c r="N16" s="151">
        <f>Before!D37</f>
        <v>0</v>
      </c>
      <c r="O16" s="151">
        <f>Before!F37</f>
        <v>0</v>
      </c>
      <c r="P16" s="151">
        <f>Before!J37</f>
        <v>0</v>
      </c>
      <c r="Q16" s="151">
        <f>Before!N37</f>
        <v>0</v>
      </c>
    </row>
    <row r="17" spans="2:17" x14ac:dyDescent="0.3">
      <c r="B17" s="153" t="str">
        <f>Before!E$3</f>
        <v>Monthly DQA</v>
      </c>
      <c r="C17" s="153" t="str">
        <f>Before!G$3</f>
        <v>DS-TB</v>
      </c>
      <c r="D17" s="153" t="str">
        <f>Before!C$3</f>
        <v>Before</v>
      </c>
      <c r="E17" s="153" t="str">
        <f>Before!$C$4</f>
        <v>Zolile Nonzapa</v>
      </c>
      <c r="F17" s="154">
        <f>Before!$C$5</f>
        <v>0</v>
      </c>
      <c r="G17" s="153">
        <f>Before!$E$6</f>
        <v>0</v>
      </c>
      <c r="H17" s="153">
        <f>Before!$E$5</f>
        <v>0</v>
      </c>
      <c r="I17" s="153">
        <f>Before!$E$4</f>
        <v>0</v>
      </c>
      <c r="J17" s="153" t="str">
        <f>Before!G$5</f>
        <v>doh</v>
      </c>
      <c r="K17" s="151" t="s">
        <v>271</v>
      </c>
      <c r="L17" s="151" t="s">
        <v>270</v>
      </c>
      <c r="M17" s="151" t="str">
        <f>Before!B57</f>
        <v>DSTB Treatment success</v>
      </c>
      <c r="N17" s="151">
        <f>Before!C57</f>
        <v>65</v>
      </c>
      <c r="O17" s="151">
        <f>Before!D57</f>
        <v>65</v>
      </c>
    </row>
    <row r="18" spans="2:17" x14ac:dyDescent="0.3">
      <c r="B18" s="153" t="str">
        <f>Before!E$3</f>
        <v>Monthly DQA</v>
      </c>
      <c r="C18" s="153" t="str">
        <f>Before!G$3</f>
        <v>DS-TB</v>
      </c>
      <c r="D18" s="153" t="str">
        <f>Before!C$3</f>
        <v>Before</v>
      </c>
      <c r="E18" s="153" t="str">
        <f>Before!$C$4</f>
        <v>Zolile Nonzapa</v>
      </c>
      <c r="F18" s="154">
        <f>Before!$C$5</f>
        <v>0</v>
      </c>
      <c r="G18" s="153">
        <f>Before!$E$6</f>
        <v>0</v>
      </c>
      <c r="H18" s="153">
        <f>Before!$E$5</f>
        <v>0</v>
      </c>
      <c r="I18" s="153">
        <f>Before!$E$4</f>
        <v>0</v>
      </c>
      <c r="J18" s="153" t="str">
        <f>Before!G$5</f>
        <v>doh</v>
      </c>
      <c r="K18" s="151" t="s">
        <v>271</v>
      </c>
      <c r="L18" s="151" t="s">
        <v>270</v>
      </c>
      <c r="M18" s="151" t="str">
        <f>Before!B59</f>
        <v>DSTB LTFU</v>
      </c>
      <c r="N18" s="151">
        <f>Before!C59</f>
        <v>18</v>
      </c>
      <c r="O18" s="151">
        <f>Before!D59</f>
        <v>18</v>
      </c>
    </row>
    <row r="19" spans="2:17" x14ac:dyDescent="0.3">
      <c r="B19" s="153" t="str">
        <f>Before!E$3</f>
        <v>Monthly DQA</v>
      </c>
      <c r="C19" s="153" t="str">
        <f>Before!G$3</f>
        <v>DS-TB</v>
      </c>
      <c r="D19" s="153" t="str">
        <f>Before!C$3</f>
        <v>Before</v>
      </c>
      <c r="E19" s="153" t="str">
        <f>Before!$C$4</f>
        <v>Zolile Nonzapa</v>
      </c>
      <c r="F19" s="154">
        <f>Before!$C$5</f>
        <v>0</v>
      </c>
      <c r="G19" s="153">
        <f>Before!$E$6</f>
        <v>0</v>
      </c>
      <c r="H19" s="153">
        <f>Before!$E$5</f>
        <v>0</v>
      </c>
      <c r="I19" s="153">
        <f>Before!$E$4</f>
        <v>0</v>
      </c>
      <c r="J19" s="153" t="str">
        <f>Before!G$5</f>
        <v>doh</v>
      </c>
      <c r="K19" s="151" t="s">
        <v>271</v>
      </c>
      <c r="L19" s="151" t="s">
        <v>270</v>
      </c>
      <c r="M19" s="151" t="str">
        <f>Before!B61</f>
        <v>DSTB Treatment Failure</v>
      </c>
      <c r="N19" s="151">
        <f>Before!C61</f>
        <v>1</v>
      </c>
      <c r="O19" s="151">
        <f>Before!D61</f>
        <v>1</v>
      </c>
    </row>
    <row r="20" spans="2:17" x14ac:dyDescent="0.3">
      <c r="B20" s="153" t="str">
        <f>Before!E$3</f>
        <v>Monthly DQA</v>
      </c>
      <c r="C20" s="153" t="str">
        <f>Before!G$3</f>
        <v>DS-TB</v>
      </c>
      <c r="D20" s="153" t="str">
        <f>Before!C$3</f>
        <v>Before</v>
      </c>
      <c r="E20" s="153" t="str">
        <f>Before!$C$4</f>
        <v>Zolile Nonzapa</v>
      </c>
      <c r="F20" s="154">
        <f>Before!$C$5</f>
        <v>0</v>
      </c>
      <c r="G20" s="153">
        <f>Before!$E$6</f>
        <v>0</v>
      </c>
      <c r="H20" s="153">
        <f>Before!$E$5</f>
        <v>0</v>
      </c>
      <c r="I20" s="153">
        <f>Before!$E$4</f>
        <v>0</v>
      </c>
      <c r="J20" s="153" t="str">
        <f>Before!G$5</f>
        <v>doh</v>
      </c>
      <c r="K20" s="151" t="s">
        <v>271</v>
      </c>
      <c r="L20" s="151" t="s">
        <v>270</v>
      </c>
      <c r="M20" s="151" t="str">
        <f>Before!B63</f>
        <v>DSTB Died</v>
      </c>
      <c r="N20" s="151">
        <f>Before!C63</f>
        <v>4</v>
      </c>
      <c r="O20" s="151">
        <f>Before!D63</f>
        <v>4</v>
      </c>
    </row>
    <row r="21" spans="2:17" x14ac:dyDescent="0.3">
      <c r="B21" s="153" t="str">
        <f>Before!E$3</f>
        <v>Monthly DQA</v>
      </c>
      <c r="C21" s="153" t="str">
        <f>Before!G$3</f>
        <v>DS-TB</v>
      </c>
      <c r="D21" s="153" t="str">
        <f>Before!C$3</f>
        <v>Before</v>
      </c>
      <c r="E21" s="153" t="str">
        <f>Before!$C$4</f>
        <v>Zolile Nonzapa</v>
      </c>
      <c r="F21" s="154">
        <f>Before!$C$5</f>
        <v>0</v>
      </c>
      <c r="G21" s="153">
        <f>Before!$E$6</f>
        <v>0</v>
      </c>
      <c r="H21" s="153">
        <f>Before!$E$5</f>
        <v>0</v>
      </c>
      <c r="I21" s="153">
        <f>Before!$E$4</f>
        <v>0</v>
      </c>
      <c r="J21" s="153" t="str">
        <f>Before!G$5</f>
        <v>doh</v>
      </c>
      <c r="K21" s="151" t="s">
        <v>271</v>
      </c>
      <c r="L21" s="151" t="s">
        <v>270</v>
      </c>
      <c r="M21" s="151" t="str">
        <f>Before!B65</f>
        <v>Not evaluated</v>
      </c>
      <c r="N21" s="151">
        <f>Before!C65</f>
        <v>0</v>
      </c>
      <c r="O21" s="151">
        <f>Before!D65</f>
        <v>0</v>
      </c>
    </row>
    <row r="22" spans="2:17" x14ac:dyDescent="0.3">
      <c r="B22" s="153" t="str">
        <f>Before!E$3</f>
        <v>Monthly DQA</v>
      </c>
      <c r="C22" s="153" t="str">
        <f>Before!G$3</f>
        <v>DS-TB</v>
      </c>
      <c r="D22" s="153" t="str">
        <f>Before!C$3</f>
        <v>Before</v>
      </c>
      <c r="E22" s="153" t="str">
        <f>Before!$C$4</f>
        <v>Zolile Nonzapa</v>
      </c>
      <c r="F22" s="154">
        <f>Before!$C$5</f>
        <v>0</v>
      </c>
      <c r="G22" s="153">
        <f>Before!$E$6</f>
        <v>0</v>
      </c>
      <c r="H22" s="153">
        <f>Before!$E$5</f>
        <v>0</v>
      </c>
      <c r="I22" s="153">
        <f>Before!$E$4</f>
        <v>0</v>
      </c>
      <c r="J22" s="153" t="str">
        <f>Before!G$5</f>
        <v>doh</v>
      </c>
      <c r="K22" s="151" t="s">
        <v>271</v>
      </c>
      <c r="L22" s="151" t="s">
        <v>270</v>
      </c>
      <c r="M22" s="151" t="str">
        <f>Before!B67</f>
        <v>DSTB Total</v>
      </c>
      <c r="N22" s="151">
        <f>Before!C67</f>
        <v>88</v>
      </c>
      <c r="O22" s="151">
        <f>Before!D67</f>
        <v>88</v>
      </c>
    </row>
    <row r="23" spans="2:17" x14ac:dyDescent="0.3">
      <c r="B23" s="153" t="str">
        <f>Before!E$3</f>
        <v>Monthly DQA</v>
      </c>
      <c r="C23" s="153" t="str">
        <f>Before!G$3</f>
        <v>DS-TB</v>
      </c>
      <c r="D23" s="153" t="str">
        <f>Before!C$3</f>
        <v>Before</v>
      </c>
      <c r="E23" s="153" t="str">
        <f>Before!$C$4</f>
        <v>Zolile Nonzapa</v>
      </c>
      <c r="F23" s="154">
        <f>Before!$C$5</f>
        <v>0</v>
      </c>
      <c r="G23" s="153">
        <f>Before!$E$6</f>
        <v>0</v>
      </c>
      <c r="H23" s="153">
        <f>Before!$E$5</f>
        <v>0</v>
      </c>
      <c r="I23" s="153">
        <f>Before!$E$4</f>
        <v>0</v>
      </c>
      <c r="J23" s="153" t="str">
        <f>Before!G$5</f>
        <v>doh</v>
      </c>
      <c r="K23" s="151" t="s">
        <v>271</v>
      </c>
      <c r="L23" s="151" t="s">
        <v>270</v>
      </c>
      <c r="M23" s="151" t="str">
        <f>Before!B68</f>
        <v>DSTB Transfer out (TFO)</v>
      </c>
      <c r="N23" s="151">
        <f>Before!C68</f>
        <v>2</v>
      </c>
      <c r="O23" s="151">
        <f>Before!D68</f>
        <v>2</v>
      </c>
    </row>
    <row r="24" spans="2:17" x14ac:dyDescent="0.3">
      <c r="B24" s="153" t="str">
        <f>Before!E$3</f>
        <v>Monthly DQA</v>
      </c>
      <c r="C24" s="153" t="str">
        <f>Before!G$3</f>
        <v>DS-TB</v>
      </c>
      <c r="D24" s="153" t="str">
        <f>Before!C$3</f>
        <v>Before</v>
      </c>
      <c r="E24" s="153" t="str">
        <f>Before!$C$4</f>
        <v>Zolile Nonzapa</v>
      </c>
      <c r="F24" s="154">
        <f>Before!$C$5</f>
        <v>0</v>
      </c>
      <c r="G24" s="153">
        <f>Before!$E$6</f>
        <v>0</v>
      </c>
      <c r="H24" s="153">
        <f>Before!$E$5</f>
        <v>0</v>
      </c>
      <c r="I24" s="153">
        <f>Before!$E$4</f>
        <v>0</v>
      </c>
      <c r="J24" s="153" t="str">
        <f>Before!G$5</f>
        <v>doh</v>
      </c>
      <c r="K24" s="151" t="s">
        <v>271</v>
      </c>
      <c r="L24" s="151" t="s">
        <v>270</v>
      </c>
      <c r="M24" s="151" t="str">
        <f>Before!B70</f>
        <v>TB Rif resistant</v>
      </c>
      <c r="N24" s="151">
        <f>Before!C70</f>
        <v>0</v>
      </c>
      <c r="O24" s="151">
        <f>Before!D70</f>
        <v>0</v>
      </c>
    </row>
    <row r="25" spans="2:17" x14ac:dyDescent="0.3">
      <c r="B25" s="153" t="str">
        <f>Before!E$3</f>
        <v>Monthly DQA</v>
      </c>
      <c r="C25" s="153" t="str">
        <f>Before!G$3</f>
        <v>DS-TB</v>
      </c>
      <c r="D25" s="153" t="str">
        <f>Before!C$3</f>
        <v>Before</v>
      </c>
      <c r="E25" s="153" t="str">
        <f>Before!$C$4</f>
        <v>Zolile Nonzapa</v>
      </c>
      <c r="F25" s="154">
        <f>Before!$C$5</f>
        <v>0</v>
      </c>
      <c r="G25" s="153">
        <f>Before!$E$6</f>
        <v>0</v>
      </c>
      <c r="H25" s="153">
        <f>Before!$E$5</f>
        <v>0</v>
      </c>
      <c r="I25" s="153">
        <f>Before!$E$4</f>
        <v>0</v>
      </c>
      <c r="J25" s="153" t="str">
        <f>Before!G$5</f>
        <v>doh</v>
      </c>
      <c r="K25" s="151" t="s">
        <v>271</v>
      </c>
      <c r="L25" s="151" t="s">
        <v>270</v>
      </c>
      <c r="M25" s="151" t="str">
        <f>Before!B71</f>
        <v>TB MDR</v>
      </c>
      <c r="N25" s="151">
        <f>Before!C71</f>
        <v>0</v>
      </c>
      <c r="O25" s="151">
        <f>Before!D71</f>
        <v>0</v>
      </c>
    </row>
    <row r="26" spans="2:17" x14ac:dyDescent="0.3">
      <c r="B26" s="153" t="str">
        <f>Before!E$3</f>
        <v>Monthly DQA</v>
      </c>
      <c r="C26" s="153" t="str">
        <f>Before!G$3</f>
        <v>DS-TB</v>
      </c>
      <c r="D26" s="153" t="str">
        <f>Before!C$3</f>
        <v>Before</v>
      </c>
      <c r="E26" s="153" t="str">
        <f>Before!$C$4</f>
        <v>Zolile Nonzapa</v>
      </c>
      <c r="F26" s="154">
        <f>Before!$C$5</f>
        <v>0</v>
      </c>
      <c r="G26" s="153">
        <f>Before!$E$6</f>
        <v>0</v>
      </c>
      <c r="H26" s="153">
        <f>Before!$E$5</f>
        <v>0</v>
      </c>
      <c r="I26" s="153">
        <f>Before!$E$4</f>
        <v>0</v>
      </c>
      <c r="J26" s="153" t="str">
        <f>Before!G$5</f>
        <v>doh</v>
      </c>
      <c r="K26" s="151" t="s">
        <v>271</v>
      </c>
      <c r="L26" s="151" t="s">
        <v>270</v>
      </c>
      <c r="M26" s="151" t="str">
        <f>Before!B72</f>
        <v>TB Total all cases</v>
      </c>
      <c r="N26" s="151">
        <f>Before!C72</f>
        <v>90</v>
      </c>
      <c r="O26" s="151">
        <f>Before!D72</f>
        <v>90</v>
      </c>
    </row>
    <row r="27" spans="2:17" x14ac:dyDescent="0.3">
      <c r="B27" s="153" t="str">
        <f>Before!E$3</f>
        <v>Monthly DQA</v>
      </c>
      <c r="C27" s="153" t="str">
        <f>Before!G$3</f>
        <v>DS-TB</v>
      </c>
      <c r="D27" s="153" t="str">
        <f>Before!C$3</f>
        <v>Before</v>
      </c>
      <c r="E27" s="153" t="str">
        <f>Before!$C$4</f>
        <v>Zolile Nonzapa</v>
      </c>
      <c r="F27" s="154">
        <f>Before!$C$5</f>
        <v>0</v>
      </c>
      <c r="G27" s="153">
        <f>Before!$E$6</f>
        <v>0</v>
      </c>
      <c r="H27" s="153">
        <f>Before!$E$5</f>
        <v>0</v>
      </c>
      <c r="I27" s="153">
        <f>Before!$E$4</f>
        <v>0</v>
      </c>
      <c r="J27" s="153" t="str">
        <f>Before!G$5</f>
        <v>doh</v>
      </c>
      <c r="K27" s="151" t="s">
        <v>271</v>
      </c>
      <c r="L27" s="151" t="s">
        <v>270</v>
      </c>
      <c r="M27" s="151" t="str">
        <f>Before!B73</f>
        <v>Duplicates found</v>
      </c>
      <c r="N27" s="151">
        <f>Before!C73</f>
        <v>0</v>
      </c>
      <c r="O27" s="151">
        <f>Before!D73</f>
        <v>0</v>
      </c>
    </row>
    <row r="28" spans="2:17" x14ac:dyDescent="0.3">
      <c r="B28" s="153" t="str">
        <f>Before!E$3</f>
        <v>Monthly DQA</v>
      </c>
      <c r="C28" s="153" t="str">
        <f>Before!G$3</f>
        <v>DS-TB</v>
      </c>
      <c r="D28" s="153" t="str">
        <f>Before!C$3</f>
        <v>Before</v>
      </c>
      <c r="E28" s="153" t="str">
        <f>Before!$C$4</f>
        <v>Zolile Nonzapa</v>
      </c>
      <c r="F28" s="154">
        <f>Before!$C$5</f>
        <v>0</v>
      </c>
      <c r="G28" s="153">
        <f>Before!$E$6</f>
        <v>0</v>
      </c>
      <c r="H28" s="153">
        <f>Before!$E$5</f>
        <v>0</v>
      </c>
      <c r="I28" s="153">
        <f>Before!$E$4</f>
        <v>0</v>
      </c>
      <c r="J28" s="153" t="str">
        <f>Before!G$5</f>
        <v>doh</v>
      </c>
      <c r="K28" s="151" t="s">
        <v>268</v>
      </c>
      <c r="L28" s="151" t="s">
        <v>272</v>
      </c>
      <c r="M28" s="151" t="s">
        <v>158</v>
      </c>
      <c r="N28" s="151">
        <f>Before!D12</f>
        <v>0</v>
      </c>
      <c r="O28" s="151">
        <f>Before!F12</f>
        <v>0</v>
      </c>
      <c r="P28" s="151">
        <f>Before!J12</f>
        <v>0</v>
      </c>
      <c r="Q28" s="151">
        <f>Before!N12</f>
        <v>0</v>
      </c>
    </row>
    <row r="29" spans="2:17" x14ac:dyDescent="0.3">
      <c r="B29" s="153" t="str">
        <f>Before!E$3</f>
        <v>Monthly DQA</v>
      </c>
      <c r="C29" s="153" t="str">
        <f>Before!G$3</f>
        <v>DS-TB</v>
      </c>
      <c r="D29" s="153" t="str">
        <f>Before!C$3</f>
        <v>Before</v>
      </c>
      <c r="E29" s="153" t="str">
        <f>Before!$C$4</f>
        <v>Zolile Nonzapa</v>
      </c>
      <c r="F29" s="154">
        <f>Before!$C$5</f>
        <v>0</v>
      </c>
      <c r="G29" s="153">
        <f>Before!$E$6</f>
        <v>0</v>
      </c>
      <c r="H29" s="153">
        <f>Before!$E$5</f>
        <v>0</v>
      </c>
      <c r="I29" s="153">
        <f>Before!$E$4</f>
        <v>0</v>
      </c>
      <c r="J29" s="153" t="str">
        <f>Before!G$5</f>
        <v>doh</v>
      </c>
      <c r="K29" s="151" t="s">
        <v>268</v>
      </c>
      <c r="L29" s="151" t="s">
        <v>272</v>
      </c>
      <c r="M29" s="151" t="s">
        <v>159</v>
      </c>
      <c r="N29" s="151">
        <f>Before!D13</f>
        <v>1967</v>
      </c>
      <c r="O29" s="151">
        <f>Before!F13</f>
        <v>1967</v>
      </c>
      <c r="P29" s="151">
        <f>Before!J13</f>
        <v>0</v>
      </c>
      <c r="Q29" s="151">
        <f>Before!N13</f>
        <v>0</v>
      </c>
    </row>
    <row r="30" spans="2:17" x14ac:dyDescent="0.3">
      <c r="B30" s="153" t="str">
        <f>Before!E$3</f>
        <v>Monthly DQA</v>
      </c>
      <c r="C30" s="153" t="str">
        <f>Before!G$3</f>
        <v>DS-TB</v>
      </c>
      <c r="D30" s="153" t="str">
        <f>Before!C$3</f>
        <v>Before</v>
      </c>
      <c r="E30" s="153" t="str">
        <f>Before!$C$4</f>
        <v>Zolile Nonzapa</v>
      </c>
      <c r="F30" s="154">
        <f>Before!$C$5</f>
        <v>0</v>
      </c>
      <c r="G30" s="153">
        <f>Before!$E$6</f>
        <v>0</v>
      </c>
      <c r="H30" s="153">
        <f>Before!$E$5</f>
        <v>0</v>
      </c>
      <c r="I30" s="153">
        <f>Before!$E$4</f>
        <v>0</v>
      </c>
      <c r="J30" s="153" t="str">
        <f>Before!G$5</f>
        <v>doh</v>
      </c>
      <c r="K30" s="151" t="s">
        <v>268</v>
      </c>
      <c r="L30" s="151" t="s">
        <v>272</v>
      </c>
      <c r="M30" s="151" t="s">
        <v>161</v>
      </c>
      <c r="N30" s="151">
        <f>Before!D15</f>
        <v>121</v>
      </c>
      <c r="O30" s="151">
        <f>Before!F15</f>
        <v>121</v>
      </c>
      <c r="P30" s="151">
        <f>Before!J15</f>
        <v>0</v>
      </c>
      <c r="Q30" s="151">
        <f>Before!N15</f>
        <v>0</v>
      </c>
    </row>
    <row r="31" spans="2:17" x14ac:dyDescent="0.3">
      <c r="B31" s="153" t="str">
        <f>Before!E$3</f>
        <v>Monthly DQA</v>
      </c>
      <c r="C31" s="153" t="str">
        <f>Before!G$3</f>
        <v>DS-TB</v>
      </c>
      <c r="D31" s="153" t="str">
        <f>Before!C$3</f>
        <v>Before</v>
      </c>
      <c r="E31" s="153" t="str">
        <f>Before!$C$4</f>
        <v>Zolile Nonzapa</v>
      </c>
      <c r="F31" s="154">
        <f>Before!$C$5</f>
        <v>0</v>
      </c>
      <c r="G31" s="153">
        <f>Before!$E$6</f>
        <v>0</v>
      </c>
      <c r="H31" s="153">
        <f>Before!$E$5</f>
        <v>0</v>
      </c>
      <c r="I31" s="153">
        <f>Before!$E$4</f>
        <v>0</v>
      </c>
      <c r="J31" s="153" t="str">
        <f>Before!G$5</f>
        <v>doh</v>
      </c>
      <c r="K31" s="151" t="s">
        <v>268</v>
      </c>
      <c r="L31" s="151" t="s">
        <v>272</v>
      </c>
      <c r="M31" s="151" t="s">
        <v>163</v>
      </c>
      <c r="N31" s="151">
        <f>Before!D17</f>
        <v>119</v>
      </c>
      <c r="O31" s="151">
        <f>Before!F17</f>
        <v>119</v>
      </c>
      <c r="P31" s="151">
        <f>Before!J17</f>
        <v>0</v>
      </c>
      <c r="Q31" s="151">
        <f>Before!N17</f>
        <v>0</v>
      </c>
    </row>
    <row r="32" spans="2:17" x14ac:dyDescent="0.3">
      <c r="B32" s="153" t="str">
        <f>Before!E$3</f>
        <v>Monthly DQA</v>
      </c>
      <c r="C32" s="153" t="str">
        <f>Before!G$3</f>
        <v>DS-TB</v>
      </c>
      <c r="D32" s="153" t="str">
        <f>Before!C$3</f>
        <v>Before</v>
      </c>
      <c r="E32" s="153" t="str">
        <f>Before!$C$4</f>
        <v>Zolile Nonzapa</v>
      </c>
      <c r="F32" s="154">
        <f>Before!$C$5</f>
        <v>0</v>
      </c>
      <c r="G32" s="153">
        <f>Before!$E$6</f>
        <v>0</v>
      </c>
      <c r="H32" s="153">
        <f>Before!$E$5</f>
        <v>0</v>
      </c>
      <c r="I32" s="153">
        <f>Before!$E$4</f>
        <v>0</v>
      </c>
      <c r="J32" s="153" t="str">
        <f>Before!G$5</f>
        <v>doh</v>
      </c>
      <c r="K32" s="151" t="s">
        <v>268</v>
      </c>
      <c r="L32" s="151" t="s">
        <v>272</v>
      </c>
      <c r="M32" s="151" t="s">
        <v>164</v>
      </c>
      <c r="N32" s="151">
        <f>Before!D18</f>
        <v>1</v>
      </c>
      <c r="O32" s="151">
        <f>Before!F18</f>
        <v>1</v>
      </c>
      <c r="P32" s="151">
        <f>Before!J18</f>
        <v>0</v>
      </c>
      <c r="Q32" s="151">
        <f>Before!N18</f>
        <v>0</v>
      </c>
    </row>
    <row r="33" spans="2:17" x14ac:dyDescent="0.3">
      <c r="B33" s="153" t="str">
        <f>Before!E$3</f>
        <v>Monthly DQA</v>
      </c>
      <c r="C33" s="153" t="str">
        <f>Before!G$3</f>
        <v>DS-TB</v>
      </c>
      <c r="D33" s="153" t="str">
        <f>Before!C$3</f>
        <v>Before</v>
      </c>
      <c r="E33" s="153" t="str">
        <f>Before!$C$4</f>
        <v>Zolile Nonzapa</v>
      </c>
      <c r="F33" s="154">
        <f>Before!$C$5</f>
        <v>0</v>
      </c>
      <c r="G33" s="153">
        <f>Before!$E$6</f>
        <v>0</v>
      </c>
      <c r="H33" s="153">
        <f>Before!$E$5</f>
        <v>0</v>
      </c>
      <c r="I33" s="153">
        <f>Before!$E$4</f>
        <v>0</v>
      </c>
      <c r="J33" s="153" t="str">
        <f>Before!G$5</f>
        <v>doh</v>
      </c>
      <c r="K33" s="151" t="s">
        <v>268</v>
      </c>
      <c r="L33" s="151" t="s">
        <v>272</v>
      </c>
      <c r="M33" s="151" t="s">
        <v>165</v>
      </c>
      <c r="N33" s="151">
        <f>Before!D19</f>
        <v>20</v>
      </c>
      <c r="O33" s="151">
        <f>Before!F19</f>
        <v>20</v>
      </c>
      <c r="P33" s="151">
        <f>Before!J19</f>
        <v>0</v>
      </c>
      <c r="Q33" s="151">
        <f>Before!N19</f>
        <v>0</v>
      </c>
    </row>
    <row r="34" spans="2:17" x14ac:dyDescent="0.3">
      <c r="B34" s="153" t="str">
        <f>Before!E$3</f>
        <v>Monthly DQA</v>
      </c>
      <c r="C34" s="153" t="str">
        <f>Before!G$3</f>
        <v>DS-TB</v>
      </c>
      <c r="D34" s="153" t="str">
        <f>Before!C$3</f>
        <v>Before</v>
      </c>
      <c r="E34" s="153" t="str">
        <f>Before!$C$4</f>
        <v>Zolile Nonzapa</v>
      </c>
      <c r="F34" s="154">
        <f>Before!$C$5</f>
        <v>0</v>
      </c>
      <c r="G34" s="153">
        <f>Before!$E$6</f>
        <v>0</v>
      </c>
      <c r="H34" s="153">
        <f>Before!$E$5</f>
        <v>0</v>
      </c>
      <c r="I34" s="153">
        <f>Before!$E$4</f>
        <v>0</v>
      </c>
      <c r="J34" s="153" t="str">
        <f>Before!G$5</f>
        <v>doh</v>
      </c>
      <c r="K34" s="151" t="s">
        <v>268</v>
      </c>
      <c r="L34" s="151" t="s">
        <v>272</v>
      </c>
      <c r="M34" s="151" t="s">
        <v>166</v>
      </c>
      <c r="N34" s="151">
        <f>Before!D20</f>
        <v>2</v>
      </c>
      <c r="O34" s="151">
        <f>Before!F20</f>
        <v>2</v>
      </c>
      <c r="P34" s="151">
        <f>Before!J20</f>
        <v>0</v>
      </c>
      <c r="Q34" s="151">
        <f>Before!N20</f>
        <v>0</v>
      </c>
    </row>
    <row r="35" spans="2:17" x14ac:dyDescent="0.3">
      <c r="B35" s="153" t="str">
        <f>Before!E$3</f>
        <v>Monthly DQA</v>
      </c>
      <c r="C35" s="153" t="str">
        <f>Before!G$3</f>
        <v>DS-TB</v>
      </c>
      <c r="D35" s="153" t="str">
        <f>Before!C$3</f>
        <v>Before</v>
      </c>
      <c r="E35" s="153" t="str">
        <f>Before!$C$4</f>
        <v>Zolile Nonzapa</v>
      </c>
      <c r="F35" s="154">
        <f>Before!$C$5</f>
        <v>0</v>
      </c>
      <c r="G35" s="153">
        <f>Before!$E$6</f>
        <v>0</v>
      </c>
      <c r="H35" s="153">
        <f>Before!$E$5</f>
        <v>0</v>
      </c>
      <c r="I35" s="153">
        <f>Before!$E$4</f>
        <v>0</v>
      </c>
      <c r="J35" s="153" t="str">
        <f>Before!G$5</f>
        <v>doh</v>
      </c>
      <c r="K35" s="151" t="s">
        <v>268</v>
      </c>
      <c r="L35" s="151" t="s">
        <v>272</v>
      </c>
      <c r="M35" s="151" t="s">
        <v>168</v>
      </c>
      <c r="N35" s="151">
        <f>Before!D22</f>
        <v>20</v>
      </c>
      <c r="O35" s="151">
        <f>Before!F22</f>
        <v>20</v>
      </c>
      <c r="P35" s="151">
        <f>Before!J22</f>
        <v>6</v>
      </c>
      <c r="Q35" s="151">
        <f>Before!N22</f>
        <v>0</v>
      </c>
    </row>
    <row r="36" spans="2:17" x14ac:dyDescent="0.3">
      <c r="B36" s="153" t="str">
        <f>Before!E$3</f>
        <v>Monthly DQA</v>
      </c>
      <c r="C36" s="153" t="str">
        <f>Before!G$3</f>
        <v>DS-TB</v>
      </c>
      <c r="D36" s="153" t="str">
        <f>Before!C$3</f>
        <v>Before</v>
      </c>
      <c r="E36" s="153" t="str">
        <f>Before!$C$4</f>
        <v>Zolile Nonzapa</v>
      </c>
      <c r="F36" s="154">
        <f>Before!$C$5</f>
        <v>0</v>
      </c>
      <c r="G36" s="153">
        <f>Before!$E$6</f>
        <v>0</v>
      </c>
      <c r="H36" s="153">
        <f>Before!$E$5</f>
        <v>0</v>
      </c>
      <c r="I36" s="153">
        <f>Before!$E$4</f>
        <v>0</v>
      </c>
      <c r="J36" s="153" t="str">
        <f>Before!G$5</f>
        <v>doh</v>
      </c>
      <c r="K36" s="151" t="s">
        <v>268</v>
      </c>
      <c r="L36" s="151" t="s">
        <v>272</v>
      </c>
      <c r="M36" s="151" t="s">
        <v>170</v>
      </c>
      <c r="N36" s="151">
        <f>Before!D24</f>
        <v>1</v>
      </c>
      <c r="O36" s="151">
        <f>Before!F24</f>
        <v>1</v>
      </c>
      <c r="P36" s="151">
        <f>Before!J24</f>
        <v>-6</v>
      </c>
      <c r="Q36" s="151">
        <f>Before!N24</f>
        <v>0</v>
      </c>
    </row>
    <row r="37" spans="2:17" x14ac:dyDescent="0.3">
      <c r="B37" s="153" t="str">
        <f>Before!E$3</f>
        <v>Monthly DQA</v>
      </c>
      <c r="C37" s="153" t="str">
        <f>Before!G$3</f>
        <v>DS-TB</v>
      </c>
      <c r="D37" s="153" t="str">
        <f>Before!C$3</f>
        <v>Before</v>
      </c>
      <c r="E37" s="153" t="str">
        <f>Before!$C$4</f>
        <v>Zolile Nonzapa</v>
      </c>
      <c r="F37" s="154">
        <f>Before!$C$5</f>
        <v>0</v>
      </c>
      <c r="G37" s="153">
        <f>Before!$E$6</f>
        <v>0</v>
      </c>
      <c r="H37" s="153">
        <f>Before!$E$5</f>
        <v>0</v>
      </c>
      <c r="I37" s="153">
        <f>Before!$E$4</f>
        <v>0</v>
      </c>
      <c r="J37" s="153" t="str">
        <f>Before!G$5</f>
        <v>doh</v>
      </c>
      <c r="K37" s="151" t="s">
        <v>268</v>
      </c>
      <c r="L37" s="151" t="s">
        <v>272</v>
      </c>
      <c r="M37" s="151" t="s">
        <v>175</v>
      </c>
      <c r="N37" s="151">
        <f>Before!D27</f>
        <v>0</v>
      </c>
      <c r="O37" s="151">
        <f>Before!F27</f>
        <v>0</v>
      </c>
      <c r="P37" s="151">
        <f>Before!J27</f>
        <v>0</v>
      </c>
      <c r="Q37" s="151">
        <f>Before!N27</f>
        <v>0</v>
      </c>
    </row>
    <row r="38" spans="2:17" x14ac:dyDescent="0.3">
      <c r="B38" s="153" t="str">
        <f>Before!E$3</f>
        <v>Monthly DQA</v>
      </c>
      <c r="C38" s="153" t="str">
        <f>Before!G$3</f>
        <v>DS-TB</v>
      </c>
      <c r="D38" s="153" t="str">
        <f>Before!C$3</f>
        <v>Before</v>
      </c>
      <c r="E38" s="153" t="str">
        <f>Before!$C$4</f>
        <v>Zolile Nonzapa</v>
      </c>
      <c r="F38" s="154">
        <f>Before!$C$5</f>
        <v>0</v>
      </c>
      <c r="G38" s="153">
        <f>Before!$E$6</f>
        <v>0</v>
      </c>
      <c r="H38" s="153">
        <f>Before!$E$5</f>
        <v>0</v>
      </c>
      <c r="I38" s="153">
        <f>Before!$E$4</f>
        <v>0</v>
      </c>
      <c r="J38" s="153" t="str">
        <f>Before!G$5</f>
        <v>doh</v>
      </c>
      <c r="K38" s="151" t="s">
        <v>269</v>
      </c>
      <c r="L38" s="151" t="s">
        <v>272</v>
      </c>
      <c r="M38" s="151" t="s">
        <v>179</v>
      </c>
      <c r="N38" s="151">
        <f>Before!D32</f>
        <v>0</v>
      </c>
      <c r="O38" s="151">
        <f>Before!F32</f>
        <v>0</v>
      </c>
      <c r="P38" s="151">
        <f>Before!J32</f>
        <v>0</v>
      </c>
      <c r="Q38" s="151">
        <f>Before!N32</f>
        <v>0</v>
      </c>
    </row>
    <row r="39" spans="2:17" x14ac:dyDescent="0.3">
      <c r="B39" s="153" t="str">
        <f>Before!E$3</f>
        <v>Monthly DQA</v>
      </c>
      <c r="C39" s="153" t="str">
        <f>Before!G$3</f>
        <v>DS-TB</v>
      </c>
      <c r="D39" s="153" t="str">
        <f>Before!C$3</f>
        <v>Before</v>
      </c>
      <c r="E39" s="153" t="str">
        <f>Before!$C$4</f>
        <v>Zolile Nonzapa</v>
      </c>
      <c r="F39" s="154">
        <f>Before!$C$5</f>
        <v>0</v>
      </c>
      <c r="G39" s="153">
        <f>Before!$E$6</f>
        <v>0</v>
      </c>
      <c r="H39" s="153">
        <f>Before!$E$5</f>
        <v>0</v>
      </c>
      <c r="I39" s="153">
        <f>Before!$E$4</f>
        <v>0</v>
      </c>
      <c r="J39" s="153" t="str">
        <f>Before!G$5</f>
        <v>doh</v>
      </c>
      <c r="K39" s="151" t="s">
        <v>269</v>
      </c>
      <c r="L39" s="151" t="s">
        <v>272</v>
      </c>
      <c r="M39" s="151" t="s">
        <v>180</v>
      </c>
      <c r="N39" s="151">
        <f>Before!D33</f>
        <v>0</v>
      </c>
      <c r="O39" s="151">
        <f>Before!F33</f>
        <v>0</v>
      </c>
      <c r="P39" s="151">
        <f>Before!J33</f>
        <v>0</v>
      </c>
      <c r="Q39" s="151">
        <f>Before!N33</f>
        <v>0</v>
      </c>
    </row>
    <row r="40" spans="2:17" x14ac:dyDescent="0.3">
      <c r="B40" s="153" t="str">
        <f>Before!E$3</f>
        <v>Monthly DQA</v>
      </c>
      <c r="C40" s="153" t="str">
        <f>Before!G$3</f>
        <v>DS-TB</v>
      </c>
      <c r="D40" s="153" t="str">
        <f>Before!C$3</f>
        <v>Before</v>
      </c>
      <c r="E40" s="153" t="str">
        <f>Before!$C$4</f>
        <v>Zolile Nonzapa</v>
      </c>
      <c r="F40" s="154">
        <f>Before!$C$5</f>
        <v>0</v>
      </c>
      <c r="G40" s="153">
        <f>Before!$E$6</f>
        <v>0</v>
      </c>
      <c r="H40" s="153">
        <f>Before!$E$5</f>
        <v>0</v>
      </c>
      <c r="I40" s="153">
        <f>Before!$E$4</f>
        <v>0</v>
      </c>
      <c r="J40" s="153" t="str">
        <f>Before!G$5</f>
        <v>doh</v>
      </c>
      <c r="K40" s="151" t="s">
        <v>273</v>
      </c>
      <c r="L40" s="151" t="s">
        <v>270</v>
      </c>
      <c r="M40" s="151" t="str">
        <f>Before!B43</f>
        <v>TB identification results outstanding list</v>
      </c>
      <c r="P40" s="151">
        <f>Before!C43</f>
        <v>0</v>
      </c>
    </row>
    <row r="41" spans="2:17" x14ac:dyDescent="0.3">
      <c r="B41" s="153" t="str">
        <f>Before!E$3</f>
        <v>Monthly DQA</v>
      </c>
      <c r="C41" s="153" t="str">
        <f>Before!G$3</f>
        <v>DS-TB</v>
      </c>
      <c r="D41" s="153" t="str">
        <f>Before!C$3</f>
        <v>Before</v>
      </c>
      <c r="E41" s="153" t="str">
        <f>Before!$C$4</f>
        <v>Zolile Nonzapa</v>
      </c>
      <c r="F41" s="154">
        <f>Before!$C$5</f>
        <v>0</v>
      </c>
      <c r="G41" s="153">
        <f>Before!$E$6</f>
        <v>0</v>
      </c>
      <c r="H41" s="153">
        <f>Before!$E$5</f>
        <v>0</v>
      </c>
      <c r="I41" s="153">
        <f>Before!$E$4</f>
        <v>0</v>
      </c>
      <c r="J41" s="153" t="str">
        <f>Before!G$5</f>
        <v>doh</v>
      </c>
      <c r="K41" s="151" t="s">
        <v>273</v>
      </c>
      <c r="L41" s="151" t="s">
        <v>270</v>
      </c>
      <c r="M41" s="151" t="str">
        <f>Before!B44</f>
        <v>Waiting for TB treatment list</v>
      </c>
      <c r="P41" s="151">
        <f>Before!C44</f>
        <v>0</v>
      </c>
    </row>
    <row r="42" spans="2:17" x14ac:dyDescent="0.3">
      <c r="B42" s="153" t="str">
        <f>Before!E$3</f>
        <v>Monthly DQA</v>
      </c>
      <c r="C42" s="153" t="str">
        <f>Before!G$3</f>
        <v>DS-TB</v>
      </c>
      <c r="D42" s="153" t="str">
        <f>Before!C$3</f>
        <v>Before</v>
      </c>
      <c r="E42" s="153" t="str">
        <f>Before!$C$4</f>
        <v>Zolile Nonzapa</v>
      </c>
      <c r="F42" s="154">
        <f>Before!$C$5</f>
        <v>0</v>
      </c>
      <c r="G42" s="153">
        <f>Before!$E$6</f>
        <v>0</v>
      </c>
      <c r="H42" s="153">
        <f>Before!$E$5</f>
        <v>0</v>
      </c>
      <c r="I42" s="153">
        <f>Before!$E$4</f>
        <v>0</v>
      </c>
      <c r="J42" s="153" t="str">
        <f>Before!G$5</f>
        <v>doh</v>
      </c>
      <c r="K42" s="151" t="s">
        <v>273</v>
      </c>
      <c r="L42" s="151" t="s">
        <v>270</v>
      </c>
      <c r="M42" s="151" t="str">
        <f>Before!B45</f>
        <v>DSTB coversion sputa required list</v>
      </c>
      <c r="P42" s="151">
        <f>Before!C45</f>
        <v>0</v>
      </c>
    </row>
    <row r="43" spans="2:17" x14ac:dyDescent="0.3">
      <c r="B43" s="153" t="str">
        <f>Before!E$3</f>
        <v>Monthly DQA</v>
      </c>
      <c r="C43" s="153" t="str">
        <f>Before!G$3</f>
        <v>DS-TB</v>
      </c>
      <c r="D43" s="153" t="str">
        <f>Before!C$3</f>
        <v>Before</v>
      </c>
      <c r="E43" s="153" t="str">
        <f>Before!$C$4</f>
        <v>Zolile Nonzapa</v>
      </c>
      <c r="F43" s="154">
        <f>Before!$C$5</f>
        <v>0</v>
      </c>
      <c r="G43" s="153">
        <f>Before!$E$6</f>
        <v>0</v>
      </c>
      <c r="H43" s="153">
        <f>Before!$E$5</f>
        <v>0</v>
      </c>
      <c r="I43" s="153">
        <f>Before!$E$4</f>
        <v>0</v>
      </c>
      <c r="J43" s="153" t="str">
        <f>Before!G$5</f>
        <v>doh</v>
      </c>
      <c r="K43" s="151" t="s">
        <v>273</v>
      </c>
      <c r="L43" s="151" t="s">
        <v>270</v>
      </c>
      <c r="M43" s="151" t="str">
        <f>Before!B46</f>
        <v>DSTB discharge sputa required list</v>
      </c>
      <c r="P43" s="151">
        <f>Before!C46</f>
        <v>0</v>
      </c>
    </row>
    <row r="44" spans="2:17" x14ac:dyDescent="0.3">
      <c r="B44" s="153" t="str">
        <f>Before!E$3</f>
        <v>Monthly DQA</v>
      </c>
      <c r="C44" s="153" t="str">
        <f>Before!G$3</f>
        <v>DS-TB</v>
      </c>
      <c r="D44" s="153" t="str">
        <f>Before!C$3</f>
        <v>Before</v>
      </c>
      <c r="E44" s="153" t="str">
        <f>Before!$C$4</f>
        <v>Zolile Nonzapa</v>
      </c>
      <c r="F44" s="154">
        <f>Before!$C$5</f>
        <v>0</v>
      </c>
      <c r="G44" s="153">
        <f>Before!$E$6</f>
        <v>0</v>
      </c>
      <c r="H44" s="153">
        <f>Before!$E$5</f>
        <v>0</v>
      </c>
      <c r="I44" s="153">
        <f>Before!$E$4</f>
        <v>0</v>
      </c>
      <c r="J44" s="153" t="str">
        <f>Before!G$5</f>
        <v>doh</v>
      </c>
      <c r="K44" s="151" t="s">
        <v>273</v>
      </c>
      <c r="L44" s="151" t="s">
        <v>270</v>
      </c>
      <c r="M44" s="151" t="str">
        <f>Before!B47</f>
        <v>DSTB outstanding outcomes list</v>
      </c>
      <c r="P44" s="151">
        <f>Before!C47</f>
        <v>0</v>
      </c>
    </row>
    <row r="45" spans="2:17" x14ac:dyDescent="0.3">
      <c r="B45" s="153" t="str">
        <f>Before!E$3</f>
        <v>Monthly DQA</v>
      </c>
      <c r="C45" s="153" t="str">
        <f>Before!G$3</f>
        <v>DS-TB</v>
      </c>
      <c r="D45" s="153" t="str">
        <f>Before!C$3</f>
        <v>Before</v>
      </c>
      <c r="E45" s="153" t="str">
        <f>Before!$C$4</f>
        <v>Zolile Nonzapa</v>
      </c>
      <c r="F45" s="154">
        <f>Before!$C$5</f>
        <v>0</v>
      </c>
      <c r="G45" s="153">
        <f>Before!$E$6</f>
        <v>0</v>
      </c>
      <c r="H45" s="153">
        <f>Before!$E$5</f>
        <v>0</v>
      </c>
      <c r="I45" s="153">
        <f>Before!$E$4</f>
        <v>0</v>
      </c>
      <c r="J45" s="153" t="str">
        <f>Before!G$5</f>
        <v>doh</v>
      </c>
      <c r="K45" s="151" t="s">
        <v>273</v>
      </c>
      <c r="L45" s="151" t="s">
        <v>270</v>
      </c>
      <c r="M45" s="151" t="str">
        <f>Before!B48</f>
        <v>HIV status missing</v>
      </c>
      <c r="P45" s="151">
        <f>Before!C48</f>
        <v>0</v>
      </c>
    </row>
    <row r="46" spans="2:17" x14ac:dyDescent="0.3">
      <c r="B46" s="153" t="str">
        <f>Before!E$3</f>
        <v>Monthly DQA</v>
      </c>
      <c r="C46" s="153" t="str">
        <f>Before!G$3</f>
        <v>DS-TB</v>
      </c>
      <c r="D46" s="153" t="str">
        <f>Before!C$3</f>
        <v>Before</v>
      </c>
      <c r="E46" s="153" t="str">
        <f>Before!$C$4</f>
        <v>Zolile Nonzapa</v>
      </c>
      <c r="F46" s="154">
        <f>Before!$C$5</f>
        <v>0</v>
      </c>
      <c r="G46" s="153">
        <f>Before!$E$6</f>
        <v>0</v>
      </c>
      <c r="H46" s="153">
        <f>Before!$E$5</f>
        <v>0</v>
      </c>
      <c r="I46" s="153">
        <f>Before!$E$4</f>
        <v>0</v>
      </c>
      <c r="J46" s="153" t="str">
        <f>Before!G$5</f>
        <v>doh</v>
      </c>
      <c r="K46" s="151" t="s">
        <v>273</v>
      </c>
      <c r="L46" s="151" t="s">
        <v>270</v>
      </c>
      <c r="M46" s="151" t="str">
        <f>Before!B49</f>
        <v>Early missed appointments</v>
      </c>
      <c r="P46" s="151">
        <f>Before!C49</f>
        <v>0</v>
      </c>
    </row>
    <row r="47" spans="2:17" x14ac:dyDescent="0.3">
      <c r="B47" s="153" t="str">
        <f>Before!E$3</f>
        <v>Monthly DQA</v>
      </c>
      <c r="C47" s="153" t="str">
        <f>Before!G$3</f>
        <v>DS-TB</v>
      </c>
      <c r="D47" s="153" t="str">
        <f>Before!C$3</f>
        <v>Before</v>
      </c>
      <c r="E47" s="153" t="str">
        <f>Before!$C$4</f>
        <v>Zolile Nonzapa</v>
      </c>
      <c r="F47" s="154">
        <f>Before!$C$5</f>
        <v>0</v>
      </c>
      <c r="G47" s="153">
        <f>Before!$E$6</f>
        <v>0</v>
      </c>
      <c r="H47" s="153">
        <f>Before!$E$5</f>
        <v>0</v>
      </c>
      <c r="I47" s="153">
        <f>Before!$E$4</f>
        <v>0</v>
      </c>
      <c r="J47" s="153" t="str">
        <f>Before!G$5</f>
        <v>doh</v>
      </c>
      <c r="K47" s="151" t="s">
        <v>273</v>
      </c>
      <c r="L47" s="151" t="s">
        <v>270</v>
      </c>
      <c r="M47" s="151" t="str">
        <f>Before!B50</f>
        <v>Late missed appointments</v>
      </c>
      <c r="P47" s="151">
        <f>Before!C50</f>
        <v>0</v>
      </c>
    </row>
    <row r="48" spans="2:17" x14ac:dyDescent="0.3">
      <c r="B48" s="156" t="str">
        <f>Before!E$3</f>
        <v>Monthly DQA</v>
      </c>
      <c r="C48" s="156" t="str">
        <f>Before!G$3</f>
        <v>DS-TB</v>
      </c>
      <c r="D48" s="156" t="str">
        <f>Before!C$3</f>
        <v>Before</v>
      </c>
      <c r="E48" s="153" t="str">
        <f>Before!$C$4</f>
        <v>Zolile Nonzapa</v>
      </c>
      <c r="F48" s="154">
        <f>Before!$C$5</f>
        <v>0</v>
      </c>
      <c r="G48" s="153">
        <f>Before!$E$6</f>
        <v>0</v>
      </c>
      <c r="H48" s="153">
        <f>Before!$E$5</f>
        <v>0</v>
      </c>
      <c r="I48" s="153">
        <f>Before!$E$4</f>
        <v>0</v>
      </c>
      <c r="J48" s="156" t="str">
        <f>Before!G$5</f>
        <v>doh</v>
      </c>
      <c r="K48" s="151" t="s">
        <v>273</v>
      </c>
      <c r="L48" s="151" t="s">
        <v>270</v>
      </c>
      <c r="M48" s="151" t="str">
        <f>Before!B51</f>
        <v>DSTB HIV&amp;ART status (oustanding start)</v>
      </c>
      <c r="P48" s="151">
        <f>Before!C51</f>
        <v>0</v>
      </c>
    </row>
    <row r="49" spans="2:22" x14ac:dyDescent="0.3">
      <c r="B49" s="156" t="str">
        <f>Before!E$3</f>
        <v>Monthly DQA</v>
      </c>
      <c r="C49" s="156" t="str">
        <f>Before!G$3</f>
        <v>DS-TB</v>
      </c>
      <c r="D49" s="156" t="str">
        <f>Before!C$3</f>
        <v>Before</v>
      </c>
      <c r="E49" s="153" t="str">
        <f>Before!$C$4</f>
        <v>Zolile Nonzapa</v>
      </c>
      <c r="F49" s="154">
        <f>Before!$C$5</f>
        <v>0</v>
      </c>
      <c r="G49" s="153">
        <f>Before!$E$6</f>
        <v>0</v>
      </c>
      <c r="H49" s="153">
        <f>Before!$E$5</f>
        <v>0</v>
      </c>
      <c r="I49" s="153">
        <f>Before!$E$4</f>
        <v>0</v>
      </c>
      <c r="J49" s="156" t="str">
        <f>Before!G$5</f>
        <v>doh</v>
      </c>
      <c r="K49" s="151" t="s">
        <v>273</v>
      </c>
      <c r="L49" s="151" t="s">
        <v>270</v>
      </c>
      <c r="M49" s="151" t="str">
        <f>Before!B52</f>
        <v>Transfer out list</v>
      </c>
      <c r="P49" s="151">
        <f>Before!C52</f>
        <v>0</v>
      </c>
    </row>
    <row r="50" spans="2:22" x14ac:dyDescent="0.3">
      <c r="B50" s="156" t="str">
        <f>Before!E$3</f>
        <v>Monthly DQA</v>
      </c>
      <c r="C50" s="156" t="str">
        <f>Before!G$3</f>
        <v>DS-TB</v>
      </c>
      <c r="D50" s="156" t="str">
        <f>Before!C$3</f>
        <v>Before</v>
      </c>
      <c r="E50" s="153" t="str">
        <f>Before!$C$4</f>
        <v>Zolile Nonzapa</v>
      </c>
      <c r="F50" s="154">
        <f>Before!$C$5</f>
        <v>0</v>
      </c>
      <c r="G50" s="153">
        <f>Before!$E$6</f>
        <v>0</v>
      </c>
      <c r="H50" s="153">
        <f>Before!$E$5</f>
        <v>0</v>
      </c>
      <c r="I50" s="153">
        <f>Before!$E$4</f>
        <v>0</v>
      </c>
      <c r="J50" s="156" t="str">
        <f>Before!G$5</f>
        <v>doh</v>
      </c>
      <c r="K50" s="151" t="s">
        <v>273</v>
      </c>
      <c r="L50" s="151" t="s">
        <v>270</v>
      </c>
      <c r="M50" s="151" t="str">
        <f>Before!B77</f>
        <v>Total eligile for LF LAM test</v>
      </c>
      <c r="N50" s="151">
        <f>Before!C77</f>
        <v>0</v>
      </c>
    </row>
    <row r="51" spans="2:22" x14ac:dyDescent="0.3">
      <c r="B51" s="156" t="str">
        <f>Before!E$3</f>
        <v>Monthly DQA</v>
      </c>
      <c r="C51" s="156" t="str">
        <f>Before!G$3</f>
        <v>DS-TB</v>
      </c>
      <c r="D51" s="156" t="str">
        <f>Before!C$3</f>
        <v>Before</v>
      </c>
      <c r="E51" s="153" t="str">
        <f>Before!$C$4</f>
        <v>Zolile Nonzapa</v>
      </c>
      <c r="F51" s="154">
        <f>Before!$C$5</f>
        <v>0</v>
      </c>
      <c r="G51" s="153">
        <f>Before!$E$6</f>
        <v>0</v>
      </c>
      <c r="H51" s="153">
        <f>Before!$E$5</f>
        <v>0</v>
      </c>
      <c r="I51" s="153">
        <f>Before!$E$4</f>
        <v>0</v>
      </c>
      <c r="J51" s="156" t="str">
        <f>Before!G$5</f>
        <v>doh</v>
      </c>
      <c r="K51" s="151" t="s">
        <v>274</v>
      </c>
      <c r="L51" s="151" t="s">
        <v>270</v>
      </c>
      <c r="M51" s="151" t="str">
        <f>Before!B78</f>
        <v>People with CD4 &lt;200</v>
      </c>
      <c r="N51" s="151">
        <f>Before!C78</f>
        <v>0</v>
      </c>
    </row>
    <row r="52" spans="2:22" x14ac:dyDescent="0.3">
      <c r="B52" s="156" t="str">
        <f>Before!E$3</f>
        <v>Monthly DQA</v>
      </c>
      <c r="C52" s="156" t="str">
        <f>Before!G$3</f>
        <v>DS-TB</v>
      </c>
      <c r="D52" s="156" t="str">
        <f>Before!C$3</f>
        <v>Before</v>
      </c>
      <c r="E52" s="153" t="str">
        <f>Before!$C$4</f>
        <v>Zolile Nonzapa</v>
      </c>
      <c r="F52" s="154">
        <f>Before!$C$5</f>
        <v>0</v>
      </c>
      <c r="G52" s="153">
        <f>Before!$E$6</f>
        <v>0</v>
      </c>
      <c r="H52" s="153">
        <f>Before!$E$5</f>
        <v>0</v>
      </c>
      <c r="I52" s="153">
        <f>Before!$E$4</f>
        <v>0</v>
      </c>
      <c r="J52" s="156" t="str">
        <f>Before!G$5</f>
        <v>doh</v>
      </c>
      <c r="K52" s="151" t="s">
        <v>274</v>
      </c>
      <c r="L52" s="151" t="s">
        <v>270</v>
      </c>
      <c r="M52" s="151" t="str">
        <f>Before!B79</f>
        <v>People with tested with ULAM</v>
      </c>
      <c r="N52" s="151">
        <f>Before!C79</f>
        <v>0</v>
      </c>
    </row>
    <row r="53" spans="2:22" x14ac:dyDescent="0.3">
      <c r="B53" s="156" t="str">
        <f>Before!E$3</f>
        <v>Monthly DQA</v>
      </c>
      <c r="C53" s="156" t="str">
        <f>Before!G$3</f>
        <v>DS-TB</v>
      </c>
      <c r="D53" s="156" t="str">
        <f>Before!C$3</f>
        <v>Before</v>
      </c>
      <c r="E53" s="153" t="str">
        <f>Before!$C$4</f>
        <v>Zolile Nonzapa</v>
      </c>
      <c r="F53" s="154">
        <f>Before!$C$5</f>
        <v>0</v>
      </c>
      <c r="G53" s="153">
        <f>Before!$E$6</f>
        <v>0</v>
      </c>
      <c r="H53" s="153">
        <f>Before!$E$5</f>
        <v>0</v>
      </c>
      <c r="I53" s="153">
        <f>Before!$E$4</f>
        <v>0</v>
      </c>
      <c r="J53" s="156" t="str">
        <f>Before!G$5</f>
        <v>doh</v>
      </c>
      <c r="K53" s="151" t="s">
        <v>274</v>
      </c>
      <c r="L53" s="151" t="s">
        <v>270</v>
      </c>
      <c r="M53" s="151" t="str">
        <f>Before!B80</f>
        <v>People with TB confirmed</v>
      </c>
      <c r="N53" s="151">
        <f>Before!C80</f>
        <v>0</v>
      </c>
    </row>
    <row r="54" spans="2:22" x14ac:dyDescent="0.3">
      <c r="B54" s="156" t="str">
        <f>Before!E$3</f>
        <v>Monthly DQA</v>
      </c>
      <c r="C54" s="156" t="str">
        <f>Before!G$3</f>
        <v>DS-TB</v>
      </c>
      <c r="D54" s="156" t="str">
        <f>Before!C$3</f>
        <v>Before</v>
      </c>
      <c r="E54" s="153" t="str">
        <f>Before!$C$4</f>
        <v>Zolile Nonzapa</v>
      </c>
      <c r="F54" s="154">
        <f>Before!$C$5</f>
        <v>0</v>
      </c>
      <c r="G54" s="153">
        <f>Before!$E$6</f>
        <v>0</v>
      </c>
      <c r="H54" s="153">
        <f>Before!$E$5</f>
        <v>0</v>
      </c>
      <c r="I54" s="153">
        <f>Before!$E$4</f>
        <v>0</v>
      </c>
      <c r="J54" s="156" t="str">
        <f>Before!G$5</f>
        <v>doh</v>
      </c>
      <c r="K54" s="151" t="s">
        <v>274</v>
      </c>
      <c r="L54" s="151" t="s">
        <v>270</v>
      </c>
      <c r="M54" s="151" t="str">
        <f>Before!B81</f>
        <v>People with started TB treatment</v>
      </c>
      <c r="N54" s="151">
        <f>Before!C81</f>
        <v>0</v>
      </c>
    </row>
    <row r="55" spans="2:22" x14ac:dyDescent="0.3">
      <c r="B55" s="156" t="str">
        <f>Before!E$3</f>
        <v>Monthly DQA</v>
      </c>
      <c r="C55" s="156" t="str">
        <f>Before!G$3</f>
        <v>DS-TB</v>
      </c>
      <c r="D55" s="156" t="str">
        <f>Before!C$3</f>
        <v>Before</v>
      </c>
      <c r="E55" s="153" t="str">
        <f>Before!$C$4</f>
        <v>Zolile Nonzapa</v>
      </c>
      <c r="F55" s="154">
        <f>Before!$C$5</f>
        <v>0</v>
      </c>
      <c r="G55" s="153">
        <f>Before!$E$6</f>
        <v>0</v>
      </c>
      <c r="H55" s="153">
        <f>Before!$E$5</f>
        <v>0</v>
      </c>
      <c r="I55" s="153">
        <f>Before!$E$4</f>
        <v>0</v>
      </c>
      <c r="J55" s="156" t="str">
        <f>Before!G$5</f>
        <v>doh</v>
      </c>
      <c r="K55" s="151" t="s">
        <v>275</v>
      </c>
      <c r="L55" s="151">
        <f>'TB stationery checklist'!C4</f>
        <v>0</v>
      </c>
      <c r="M55" s="151" t="str">
        <f>'TB stationery checklist'!B4</f>
        <v>Intergrated file</v>
      </c>
      <c r="N55" s="151">
        <f>'TB stationery checklist'!D4</f>
        <v>0</v>
      </c>
      <c r="U55" s="151">
        <f>'TB stationery checklist'!E4</f>
        <v>0</v>
      </c>
      <c r="V55" s="151">
        <f>'TB stationery checklist'!F4</f>
        <v>0</v>
      </c>
    </row>
    <row r="56" spans="2:22" x14ac:dyDescent="0.3">
      <c r="B56" s="156" t="str">
        <f>Before!E$3</f>
        <v>Monthly DQA</v>
      </c>
      <c r="C56" s="156" t="str">
        <f>Before!G$3</f>
        <v>DS-TB</v>
      </c>
      <c r="D56" s="156" t="str">
        <f>Before!C$3</f>
        <v>Before</v>
      </c>
      <c r="E56" s="153" t="str">
        <f>Before!$C$4</f>
        <v>Zolile Nonzapa</v>
      </c>
      <c r="F56" s="154">
        <f>Before!$C$5</f>
        <v>0</v>
      </c>
      <c r="G56" s="153">
        <f>Before!$E$6</f>
        <v>0</v>
      </c>
      <c r="H56" s="153">
        <f>Before!$E$5</f>
        <v>0</v>
      </c>
      <c r="I56" s="153">
        <f>Before!$E$4</f>
        <v>0</v>
      </c>
      <c r="J56" s="156" t="str">
        <f>Before!G$5</f>
        <v>doh</v>
      </c>
      <c r="K56" s="151" t="s">
        <v>275</v>
      </c>
      <c r="L56" s="151">
        <f>'TB stationery checklist'!C5</f>
        <v>0</v>
      </c>
      <c r="M56" s="151" t="str">
        <f>'TB stationery checklist'!B5</f>
        <v>TB Identification register (DS-TB)</v>
      </c>
      <c r="N56" s="151">
        <f>'TB stationery checklist'!D5</f>
        <v>0</v>
      </c>
      <c r="U56" s="151">
        <f>'TB stationery checklist'!E5</f>
        <v>0</v>
      </c>
      <c r="V56" s="151">
        <f>'TB stationery checklist'!F5</f>
        <v>0</v>
      </c>
    </row>
    <row r="57" spans="2:22" x14ac:dyDescent="0.3">
      <c r="B57" s="156" t="str">
        <f>Before!E$3</f>
        <v>Monthly DQA</v>
      </c>
      <c r="C57" s="156" t="str">
        <f>Before!G$3</f>
        <v>DS-TB</v>
      </c>
      <c r="D57" s="156" t="str">
        <f>Before!C$3</f>
        <v>Before</v>
      </c>
      <c r="E57" s="153" t="str">
        <f>Before!$C$4</f>
        <v>Zolile Nonzapa</v>
      </c>
      <c r="F57" s="154">
        <f>Before!$C$5</f>
        <v>0</v>
      </c>
      <c r="G57" s="153">
        <f>Before!$E$6</f>
        <v>0</v>
      </c>
      <c r="H57" s="153">
        <f>Before!$E$5</f>
        <v>0</v>
      </c>
      <c r="I57" s="153">
        <f>Before!$E$4</f>
        <v>0</v>
      </c>
      <c r="J57" s="156" t="str">
        <f>Before!G$5</f>
        <v>doh</v>
      </c>
      <c r="K57" s="151" t="s">
        <v>275</v>
      </c>
      <c r="L57" s="151">
        <f>'TB stationery checklist'!C6</f>
        <v>0</v>
      </c>
      <c r="M57" s="151" t="str">
        <f>'TB stationery checklist'!B6</f>
        <v>DR-TB Identification register (DR-TB)</v>
      </c>
      <c r="N57" s="151">
        <f>'TB stationery checklist'!D6</f>
        <v>0</v>
      </c>
      <c r="U57" s="151">
        <f>'TB stationery checklist'!E6</f>
        <v>0</v>
      </c>
      <c r="V57" s="151">
        <f>'TB stationery checklist'!F6</f>
        <v>0</v>
      </c>
    </row>
    <row r="58" spans="2:22" x14ac:dyDescent="0.3">
      <c r="B58" s="156" t="str">
        <f>Before!E$3</f>
        <v>Monthly DQA</v>
      </c>
      <c r="C58" s="156" t="str">
        <f>Before!G$3</f>
        <v>DS-TB</v>
      </c>
      <c r="D58" s="156" t="str">
        <f>Before!C$3</f>
        <v>Before</v>
      </c>
      <c r="E58" s="153" t="str">
        <f>Before!$C$4</f>
        <v>Zolile Nonzapa</v>
      </c>
      <c r="F58" s="154">
        <f>Before!$C$5</f>
        <v>0</v>
      </c>
      <c r="G58" s="153">
        <f>Before!$E$6</f>
        <v>0</v>
      </c>
      <c r="H58" s="153">
        <f>Before!$E$5</f>
        <v>0</v>
      </c>
      <c r="I58" s="153">
        <f>Before!$E$4</f>
        <v>0</v>
      </c>
      <c r="J58" s="156" t="str">
        <f>Before!G$5</f>
        <v>doh</v>
      </c>
      <c r="K58" s="151" t="s">
        <v>275</v>
      </c>
      <c r="L58" s="151">
        <f>'TB stationery checklist'!C7</f>
        <v>0</v>
      </c>
      <c r="M58" s="151" t="str">
        <f>'TB stationery checklist'!B7</f>
        <v>PHC comprehensive tick register</v>
      </c>
      <c r="N58" s="151">
        <f>'TB stationery checklist'!D7</f>
        <v>0</v>
      </c>
      <c r="U58" s="151">
        <f>'TB stationery checklist'!E7</f>
        <v>0</v>
      </c>
      <c r="V58" s="151">
        <f>'TB stationery checklist'!F7</f>
        <v>0</v>
      </c>
    </row>
    <row r="59" spans="2:22" x14ac:dyDescent="0.3">
      <c r="B59" s="156" t="str">
        <f>Before!E$3</f>
        <v>Monthly DQA</v>
      </c>
      <c r="C59" s="156" t="str">
        <f>Before!G$3</f>
        <v>DS-TB</v>
      </c>
      <c r="D59" s="156" t="str">
        <f>Before!C$3</f>
        <v>Before</v>
      </c>
      <c r="E59" s="153" t="str">
        <f>Before!$C$4</f>
        <v>Zolile Nonzapa</v>
      </c>
      <c r="F59" s="154">
        <f>Before!$C$5</f>
        <v>0</v>
      </c>
      <c r="G59" s="153">
        <f>Before!$E$6</f>
        <v>0</v>
      </c>
      <c r="H59" s="153">
        <f>Before!$E$5</f>
        <v>0</v>
      </c>
      <c r="I59" s="153">
        <f>Before!$E$4</f>
        <v>0</v>
      </c>
      <c r="J59" s="156" t="str">
        <f>Before!G$5</f>
        <v>doh</v>
      </c>
      <c r="K59" s="151" t="s">
        <v>275</v>
      </c>
      <c r="L59" s="151">
        <f>'TB stationery checklist'!C8</f>
        <v>0</v>
      </c>
      <c r="M59" s="151" t="str">
        <f>'TB stationery checklist'!B8</f>
        <v>Summary sheet</v>
      </c>
      <c r="N59" s="151">
        <f>'TB stationery checklist'!D8</f>
        <v>0</v>
      </c>
      <c r="U59" s="151">
        <f>'TB stationery checklist'!E8</f>
        <v>0</v>
      </c>
      <c r="V59" s="151">
        <f>'TB stationery checklist'!F8</f>
        <v>0</v>
      </c>
    </row>
    <row r="60" spans="2:22" x14ac:dyDescent="0.3">
      <c r="B60" s="156" t="str">
        <f>Before!E$3</f>
        <v>Monthly DQA</v>
      </c>
      <c r="C60" s="156" t="str">
        <f>Before!G$3</f>
        <v>DS-TB</v>
      </c>
      <c r="D60" s="156" t="str">
        <f>Before!C$3</f>
        <v>Before</v>
      </c>
      <c r="E60" s="153" t="str">
        <f>Before!$C$4</f>
        <v>Zolile Nonzapa</v>
      </c>
      <c r="F60" s="154">
        <f>Before!$C$5</f>
        <v>0</v>
      </c>
      <c r="G60" s="153">
        <f>Before!$E$6</f>
        <v>0</v>
      </c>
      <c r="H60" s="153">
        <f>Before!$E$5</f>
        <v>0</v>
      </c>
      <c r="I60" s="153">
        <f>Before!$E$4</f>
        <v>0</v>
      </c>
      <c r="J60" s="156" t="str">
        <f>Before!G$5</f>
        <v>doh</v>
      </c>
      <c r="K60" s="151" t="s">
        <v>275</v>
      </c>
      <c r="L60" s="151">
        <f>'TB stationery checklist'!C9</f>
        <v>0</v>
      </c>
      <c r="M60" s="151" t="str">
        <f>'TB stationery checklist'!B9</f>
        <v>TPT register</v>
      </c>
      <c r="N60" s="151">
        <f>'TB stationery checklist'!D9</f>
        <v>0</v>
      </c>
      <c r="U60" s="151">
        <f>'TB stationery checklist'!E9</f>
        <v>0</v>
      </c>
      <c r="V60" s="151">
        <f>'TB stationery checklist'!F9</f>
        <v>0</v>
      </c>
    </row>
    <row r="61" spans="2:22" x14ac:dyDescent="0.3">
      <c r="B61" s="156" t="str">
        <f>Before!E$3</f>
        <v>Monthly DQA</v>
      </c>
      <c r="C61" s="156" t="str">
        <f>Before!G$3</f>
        <v>DS-TB</v>
      </c>
      <c r="D61" s="156" t="str">
        <f>Before!C$3</f>
        <v>Before</v>
      </c>
      <c r="E61" s="153" t="str">
        <f>Before!$C$4</f>
        <v>Zolile Nonzapa</v>
      </c>
      <c r="F61" s="154">
        <f>Before!$C$5</f>
        <v>0</v>
      </c>
      <c r="G61" s="153">
        <f>Before!$E$6</f>
        <v>0</v>
      </c>
      <c r="H61" s="153">
        <f>Before!$E$5</f>
        <v>0</v>
      </c>
      <c r="I61" s="153">
        <f>Before!$E$4</f>
        <v>0</v>
      </c>
      <c r="J61" s="156" t="str">
        <f>Before!G$5</f>
        <v>doh</v>
      </c>
      <c r="K61" s="151" t="s">
        <v>275</v>
      </c>
      <c r="L61" s="151">
        <f>'TB stationery checklist'!C10</f>
        <v>0</v>
      </c>
      <c r="M61" s="151" t="str">
        <f>'TB stationery checklist'!B10</f>
        <v>Contact line list register</v>
      </c>
      <c r="N61" s="151">
        <f>'TB stationery checklist'!D10</f>
        <v>0</v>
      </c>
      <c r="U61" s="151">
        <f>'TB stationery checklist'!E10</f>
        <v>0</v>
      </c>
      <c r="V61" s="151">
        <f>'TB stationery checklist'!F10</f>
        <v>0</v>
      </c>
    </row>
    <row r="62" spans="2:22" x14ac:dyDescent="0.3">
      <c r="B62" s="156" t="str">
        <f>Before!E$3</f>
        <v>Monthly DQA</v>
      </c>
      <c r="C62" s="156" t="str">
        <f>Before!G$3</f>
        <v>DS-TB</v>
      </c>
      <c r="D62" s="156" t="str">
        <f>Before!C$3</f>
        <v>Before</v>
      </c>
      <c r="E62" s="153" t="str">
        <f>Before!$C$4</f>
        <v>Zolile Nonzapa</v>
      </c>
      <c r="F62" s="154">
        <f>Before!$C$5</f>
        <v>0</v>
      </c>
      <c r="G62" s="153">
        <f>Before!$E$6</f>
        <v>0</v>
      </c>
      <c r="H62" s="153">
        <f>Before!$E$5</f>
        <v>0</v>
      </c>
      <c r="I62" s="153">
        <f>Before!$E$4</f>
        <v>0</v>
      </c>
      <c r="J62" s="156" t="str">
        <f>Before!G$5</f>
        <v>doh</v>
      </c>
      <c r="K62" s="151" t="s">
        <v>275</v>
      </c>
      <c r="L62" s="151">
        <f>'TB stationery checklist'!C11</f>
        <v>0</v>
      </c>
      <c r="M62" s="151" t="str">
        <f>'TB stationery checklist'!B11</f>
        <v>Tranfer out register</v>
      </c>
      <c r="N62" s="151">
        <f>'TB stationery checklist'!D11</f>
        <v>0</v>
      </c>
      <c r="U62" s="151">
        <f>'TB stationery checklist'!E11</f>
        <v>0</v>
      </c>
      <c r="V62" s="151">
        <f>'TB stationery checklist'!F11</f>
        <v>0</v>
      </c>
    </row>
    <row r="63" spans="2:22" x14ac:dyDescent="0.3">
      <c r="B63" s="158" t="str">
        <f>Before!E$3</f>
        <v>Monthly DQA</v>
      </c>
      <c r="C63" s="158" t="str">
        <f>Before!G$3</f>
        <v>DS-TB</v>
      </c>
      <c r="D63" s="158" t="s">
        <v>276</v>
      </c>
      <c r="E63" s="158" t="str">
        <f>Before!$C$4</f>
        <v>Zolile Nonzapa</v>
      </c>
      <c r="F63" s="158">
        <f>Before!$C$5</f>
        <v>0</v>
      </c>
      <c r="G63" s="158">
        <f>Before!$E$6</f>
        <v>0</v>
      </c>
      <c r="H63" s="158">
        <f>Before!$E$5</f>
        <v>0</v>
      </c>
      <c r="I63" s="158">
        <f>Before!$E$4</f>
        <v>0</v>
      </c>
      <c r="J63" s="158" t="str">
        <f>Before!G$5</f>
        <v>doh</v>
      </c>
      <c r="K63" s="157" t="s">
        <v>276</v>
      </c>
      <c r="L63" s="157"/>
      <c r="M63" s="157"/>
      <c r="N63" s="155"/>
      <c r="O63" s="155"/>
      <c r="P63" s="155"/>
      <c r="Q63" s="155"/>
      <c r="R63" s="159">
        <f>COUNTA(Training!G4:G25)</f>
        <v>0</v>
      </c>
      <c r="S63" s="160" t="str">
        <f>_xlfn.TEXTJOIN(", ",TRUE,Training!D4:F25)</f>
        <v/>
      </c>
      <c r="T63" s="160" t="str">
        <f>_xlfn.TEXTJOIN(", ",TRUE,Training!H4:I25)</f>
        <v/>
      </c>
      <c r="U63" s="160"/>
      <c r="V63" s="160"/>
    </row>
    <row r="64" spans="2:22" x14ac:dyDescent="0.3">
      <c r="B64" s="153" t="str">
        <f>After!E$3</f>
        <v>Monthly DQA</v>
      </c>
      <c r="C64" s="153" t="str">
        <f>After!G$3</f>
        <v>DS-TB</v>
      </c>
      <c r="D64" s="153" t="str">
        <f>After!C$3</f>
        <v>After</v>
      </c>
      <c r="E64" s="153" t="str">
        <f>Before!$C$4</f>
        <v>Zolile Nonzapa</v>
      </c>
      <c r="F64" s="154">
        <f>Before!$C$5</f>
        <v>0</v>
      </c>
      <c r="G64" s="153">
        <f>Before!$E$6</f>
        <v>0</v>
      </c>
      <c r="H64" s="153">
        <f>Before!$E$5</f>
        <v>0</v>
      </c>
      <c r="I64" s="153">
        <f>Before!$E$4</f>
        <v>0</v>
      </c>
      <c r="J64" s="156" t="str">
        <f>Before!G$5</f>
        <v>doh</v>
      </c>
      <c r="K64" s="151" t="s">
        <v>268</v>
      </c>
      <c r="L64" s="151" t="s">
        <v>155</v>
      </c>
      <c r="M64" s="151" t="str">
        <f>After!B12</f>
        <v>Headcount</v>
      </c>
      <c r="N64" s="151">
        <f>After!C12</f>
        <v>0</v>
      </c>
      <c r="O64" s="151">
        <f>After!E12</f>
        <v>0</v>
      </c>
      <c r="P64" s="151">
        <f>After!I12</f>
        <v>0</v>
      </c>
      <c r="Q64" s="151">
        <f>After!M12</f>
        <v>0</v>
      </c>
    </row>
    <row r="65" spans="2:17" x14ac:dyDescent="0.3">
      <c r="B65" s="153" t="str">
        <f>After!E$3</f>
        <v>Monthly DQA</v>
      </c>
      <c r="C65" s="153" t="str">
        <f>After!G$3</f>
        <v>DS-TB</v>
      </c>
      <c r="D65" s="153" t="str">
        <f>After!C$3</f>
        <v>After</v>
      </c>
      <c r="E65" s="153" t="str">
        <f>Before!$C$4</f>
        <v>Zolile Nonzapa</v>
      </c>
      <c r="F65" s="154">
        <f>Before!$C$5</f>
        <v>0</v>
      </c>
      <c r="G65" s="153">
        <f>Before!$E$6</f>
        <v>0</v>
      </c>
      <c r="H65" s="153">
        <f>Before!$E$5</f>
        <v>0</v>
      </c>
      <c r="I65" s="153">
        <f>Before!$E$4</f>
        <v>0</v>
      </c>
      <c r="J65" s="156" t="str">
        <f>Before!G$5</f>
        <v>doh</v>
      </c>
      <c r="K65" s="151" t="s">
        <v>268</v>
      </c>
      <c r="L65" s="151" t="s">
        <v>155</v>
      </c>
      <c r="M65" s="151" t="str">
        <f>After!B13</f>
        <v>TB screening</v>
      </c>
      <c r="N65" s="151">
        <f>After!C13</f>
        <v>0</v>
      </c>
      <c r="O65" s="151">
        <f>After!E13</f>
        <v>0</v>
      </c>
      <c r="P65" s="151">
        <f>After!I13</f>
        <v>0</v>
      </c>
      <c r="Q65" s="151">
        <f>After!M13</f>
        <v>0</v>
      </c>
    </row>
    <row r="66" spans="2:17" x14ac:dyDescent="0.3">
      <c r="B66" s="153" t="str">
        <f>After!E$3</f>
        <v>Monthly DQA</v>
      </c>
      <c r="C66" s="153" t="str">
        <f>After!G$3</f>
        <v>DS-TB</v>
      </c>
      <c r="D66" s="153" t="str">
        <f>After!C$3</f>
        <v>After</v>
      </c>
      <c r="E66" s="153" t="str">
        <f>Before!$C$4</f>
        <v>Zolile Nonzapa</v>
      </c>
      <c r="F66" s="154">
        <f>Before!$C$5</f>
        <v>0</v>
      </c>
      <c r="G66" s="153">
        <f>Before!$E$6</f>
        <v>0</v>
      </c>
      <c r="H66" s="153">
        <f>Before!$E$5</f>
        <v>0</v>
      </c>
      <c r="I66" s="153">
        <f>Before!$E$4</f>
        <v>0</v>
      </c>
      <c r="J66" s="156" t="str">
        <f>Before!G$5</f>
        <v>doh</v>
      </c>
      <c r="K66" s="151" t="s">
        <v>268</v>
      </c>
      <c r="L66" s="151" t="s">
        <v>155</v>
      </c>
      <c r="M66" s="151" t="str">
        <f>After!B15</f>
        <v>Client eligible for TB  test</v>
      </c>
      <c r="N66" s="151">
        <f>After!C15</f>
        <v>0</v>
      </c>
      <c r="O66" s="151">
        <f>After!E15</f>
        <v>0</v>
      </c>
      <c r="P66" s="151">
        <f>After!I15</f>
        <v>0</v>
      </c>
      <c r="Q66" s="151">
        <f>After!M15</f>
        <v>0</v>
      </c>
    </row>
    <row r="67" spans="2:17" x14ac:dyDescent="0.3">
      <c r="B67" s="153" t="str">
        <f>After!E$3</f>
        <v>Monthly DQA</v>
      </c>
      <c r="C67" s="153" t="str">
        <f>After!G$3</f>
        <v>DS-TB</v>
      </c>
      <c r="D67" s="153" t="str">
        <f>After!C$3</f>
        <v>After</v>
      </c>
      <c r="E67" s="153" t="str">
        <f>Before!$C$4</f>
        <v>Zolile Nonzapa</v>
      </c>
      <c r="F67" s="154">
        <f>Before!$C$5</f>
        <v>0</v>
      </c>
      <c r="G67" s="153">
        <f>Before!$E$6</f>
        <v>0</v>
      </c>
      <c r="H67" s="153">
        <f>Before!$E$5</f>
        <v>0</v>
      </c>
      <c r="I67" s="153">
        <f>Before!$E$4</f>
        <v>0</v>
      </c>
      <c r="J67" s="156" t="str">
        <f>Before!G$5</f>
        <v>doh</v>
      </c>
      <c r="K67" s="151" t="s">
        <v>268</v>
      </c>
      <c r="L67" s="151" t="s">
        <v>155</v>
      </c>
      <c r="M67" s="151" t="str">
        <f>After!B17</f>
        <v>TB test using GeneXpert</v>
      </c>
      <c r="N67" s="151">
        <f>After!C17</f>
        <v>0</v>
      </c>
      <c r="O67" s="151">
        <f>After!E17</f>
        <v>0</v>
      </c>
      <c r="P67" s="151">
        <f>After!I17</f>
        <v>0</v>
      </c>
      <c r="Q67" s="151">
        <f>After!M17</f>
        <v>0</v>
      </c>
    </row>
    <row r="68" spans="2:17" x14ac:dyDescent="0.3">
      <c r="B68" s="153" t="str">
        <f>After!E$3</f>
        <v>Monthly DQA</v>
      </c>
      <c r="C68" s="153" t="str">
        <f>After!G$3</f>
        <v>DS-TB</v>
      </c>
      <c r="D68" s="153" t="str">
        <f>After!C$3</f>
        <v>After</v>
      </c>
      <c r="E68" s="153" t="str">
        <f>Before!$C$4</f>
        <v>Zolile Nonzapa</v>
      </c>
      <c r="F68" s="154">
        <f>Before!$C$5</f>
        <v>0</v>
      </c>
      <c r="G68" s="153">
        <f>Before!$E$6</f>
        <v>0</v>
      </c>
      <c r="H68" s="153">
        <f>Before!$E$5</f>
        <v>0</v>
      </c>
      <c r="I68" s="153">
        <f>Before!$E$4</f>
        <v>0</v>
      </c>
      <c r="J68" s="156" t="str">
        <f>Before!G$5</f>
        <v>doh</v>
      </c>
      <c r="K68" s="151" t="s">
        <v>268</v>
      </c>
      <c r="L68" s="151" t="s">
        <v>155</v>
      </c>
      <c r="M68" s="151" t="str">
        <f>After!B18</f>
        <v xml:space="preserve">DS-TB clinically diagnosed </v>
      </c>
      <c r="N68" s="151">
        <f>After!C18</f>
        <v>0</v>
      </c>
      <c r="O68" s="151">
        <f>After!E18</f>
        <v>0</v>
      </c>
      <c r="P68" s="151">
        <f>After!I18</f>
        <v>0</v>
      </c>
      <c r="Q68" s="151">
        <f>After!M18</f>
        <v>0</v>
      </c>
    </row>
    <row r="69" spans="2:17" x14ac:dyDescent="0.3">
      <c r="B69" s="153" t="str">
        <f>After!E$3</f>
        <v>Monthly DQA</v>
      </c>
      <c r="C69" s="153" t="str">
        <f>After!G$3</f>
        <v>DS-TB</v>
      </c>
      <c r="D69" s="153" t="str">
        <f>After!C$3</f>
        <v>After</v>
      </c>
      <c r="E69" s="153" t="str">
        <f>Before!$C$4</f>
        <v>Zolile Nonzapa</v>
      </c>
      <c r="F69" s="154">
        <f>Before!$C$5</f>
        <v>0</v>
      </c>
      <c r="G69" s="153">
        <f>Before!$E$6</f>
        <v>0</v>
      </c>
      <c r="H69" s="153">
        <f>Before!$E$5</f>
        <v>0</v>
      </c>
      <c r="I69" s="153">
        <f>Before!$E$4</f>
        <v>0</v>
      </c>
      <c r="J69" s="156" t="str">
        <f>Before!G$5</f>
        <v>doh</v>
      </c>
      <c r="K69" s="151" t="s">
        <v>268</v>
      </c>
      <c r="L69" s="151" t="s">
        <v>155</v>
      </c>
      <c r="M69" s="151" t="str">
        <f>After!B19</f>
        <v xml:space="preserve">DS-TB Bacteriologically confirmed </v>
      </c>
      <c r="N69" s="151">
        <f>After!C19</f>
        <v>0</v>
      </c>
      <c r="O69" s="151">
        <f>After!E19</f>
        <v>0</v>
      </c>
      <c r="P69" s="151">
        <f>After!I19</f>
        <v>0</v>
      </c>
      <c r="Q69" s="151">
        <f>After!M19</f>
        <v>0</v>
      </c>
    </row>
    <row r="70" spans="2:17" x14ac:dyDescent="0.3">
      <c r="B70" s="153" t="str">
        <f>After!E$3</f>
        <v>Monthly DQA</v>
      </c>
      <c r="C70" s="153" t="str">
        <f>After!G$3</f>
        <v>DS-TB</v>
      </c>
      <c r="D70" s="153" t="str">
        <f>After!C$3</f>
        <v>After</v>
      </c>
      <c r="E70" s="153" t="str">
        <f>Before!$C$4</f>
        <v>Zolile Nonzapa</v>
      </c>
      <c r="F70" s="154">
        <f>Before!$C$5</f>
        <v>0</v>
      </c>
      <c r="G70" s="153">
        <f>Before!$E$6</f>
        <v>0</v>
      </c>
      <c r="H70" s="153">
        <f>Before!$E$5</f>
        <v>0</v>
      </c>
      <c r="I70" s="153">
        <f>Before!$E$4</f>
        <v>0</v>
      </c>
      <c r="J70" s="156" t="str">
        <f>Before!G$5</f>
        <v>doh</v>
      </c>
      <c r="K70" s="151" t="s">
        <v>268</v>
      </c>
      <c r="L70" s="151" t="s">
        <v>155</v>
      </c>
      <c r="M70" s="151" t="str">
        <f>After!B20</f>
        <v>RR-TB bacteriologically confirmed</v>
      </c>
      <c r="N70" s="151">
        <f>After!C20</f>
        <v>0</v>
      </c>
      <c r="O70" s="151">
        <f>After!E20</f>
        <v>0</v>
      </c>
      <c r="P70" s="151">
        <f>After!I20</f>
        <v>0</v>
      </c>
      <c r="Q70" s="151">
        <f>After!M20</f>
        <v>0</v>
      </c>
    </row>
    <row r="71" spans="2:17" x14ac:dyDescent="0.3">
      <c r="B71" s="153" t="str">
        <f>After!E$3</f>
        <v>Monthly DQA</v>
      </c>
      <c r="C71" s="153" t="str">
        <f>After!G$3</f>
        <v>DS-TB</v>
      </c>
      <c r="D71" s="153" t="str">
        <f>After!C$3</f>
        <v>After</v>
      </c>
      <c r="E71" s="153" t="str">
        <f>Before!$C$4</f>
        <v>Zolile Nonzapa</v>
      </c>
      <c r="F71" s="154">
        <f>Before!$C$5</f>
        <v>0</v>
      </c>
      <c r="G71" s="153">
        <f>Before!$E$6</f>
        <v>0</v>
      </c>
      <c r="H71" s="153">
        <f>Before!$E$5</f>
        <v>0</v>
      </c>
      <c r="I71" s="153">
        <f>Before!$E$4</f>
        <v>0</v>
      </c>
      <c r="J71" s="156" t="str">
        <f>Before!G$5</f>
        <v>doh</v>
      </c>
      <c r="K71" s="151" t="s">
        <v>268</v>
      </c>
      <c r="L71" s="151" t="s">
        <v>155</v>
      </c>
      <c r="M71" s="151" t="str">
        <f>After!B22</f>
        <v>DSTB treatment start</v>
      </c>
      <c r="N71" s="151">
        <f>After!C22</f>
        <v>0</v>
      </c>
      <c r="O71" s="151">
        <f>After!E22</f>
        <v>0</v>
      </c>
      <c r="P71" s="151">
        <f>After!I22</f>
        <v>0</v>
      </c>
      <c r="Q71" s="151">
        <f>After!M22</f>
        <v>0</v>
      </c>
    </row>
    <row r="72" spans="2:17" x14ac:dyDescent="0.3">
      <c r="B72" s="153" t="str">
        <f>After!E$3</f>
        <v>Monthly DQA</v>
      </c>
      <c r="C72" s="153" t="str">
        <f>After!G$3</f>
        <v>DS-TB</v>
      </c>
      <c r="D72" s="153" t="str">
        <f>After!C$3</f>
        <v>After</v>
      </c>
      <c r="E72" s="153" t="str">
        <f>Before!$C$4</f>
        <v>Zolile Nonzapa</v>
      </c>
      <c r="F72" s="154">
        <f>Before!$C$5</f>
        <v>0</v>
      </c>
      <c r="G72" s="153">
        <f>Before!$E$6</f>
        <v>0</v>
      </c>
      <c r="H72" s="153">
        <f>Before!$E$5</f>
        <v>0</v>
      </c>
      <c r="I72" s="153">
        <f>Before!$E$4</f>
        <v>0</v>
      </c>
      <c r="J72" s="156" t="str">
        <f>Before!G$5</f>
        <v>doh</v>
      </c>
      <c r="K72" s="151" t="s">
        <v>268</v>
      </c>
      <c r="L72" s="151" t="s">
        <v>155</v>
      </c>
      <c r="M72" s="151" t="str">
        <f>After!B24</f>
        <v>Number initial lost to follow-up</v>
      </c>
      <c r="N72" s="151">
        <f>After!C24</f>
        <v>0</v>
      </c>
      <c r="O72" s="151">
        <f>After!E24</f>
        <v>0</v>
      </c>
      <c r="P72" s="151">
        <f>After!I24</f>
        <v>0</v>
      </c>
      <c r="Q72" s="151">
        <f>After!M24</f>
        <v>0</v>
      </c>
    </row>
    <row r="73" spans="2:17" x14ac:dyDescent="0.3">
      <c r="B73" s="153" t="str">
        <f>After!E$3</f>
        <v>Monthly DQA</v>
      </c>
      <c r="C73" s="153" t="str">
        <f>After!G$3</f>
        <v>DS-TB</v>
      </c>
      <c r="D73" s="153" t="str">
        <f>After!C$3</f>
        <v>After</v>
      </c>
      <c r="E73" s="153" t="str">
        <f>Before!$C$4</f>
        <v>Zolile Nonzapa</v>
      </c>
      <c r="F73" s="154">
        <f>Before!$C$5</f>
        <v>0</v>
      </c>
      <c r="G73" s="153">
        <f>Before!$E$6</f>
        <v>0</v>
      </c>
      <c r="H73" s="153">
        <f>Before!$E$5</f>
        <v>0</v>
      </c>
      <c r="I73" s="153">
        <f>Before!$E$4</f>
        <v>0</v>
      </c>
      <c r="J73" s="156" t="str">
        <f>Before!G$5</f>
        <v>doh</v>
      </c>
      <c r="K73" s="151" t="s">
        <v>268</v>
      </c>
      <c r="L73" s="151" t="s">
        <v>155</v>
      </c>
      <c r="M73" s="151" t="str">
        <f>After!B27</f>
        <v>NHLS ALERTS DS-TB</v>
      </c>
      <c r="N73" s="151">
        <f>After!C27</f>
        <v>0</v>
      </c>
      <c r="O73" s="151">
        <f>After!E27</f>
        <v>0</v>
      </c>
      <c r="P73" s="151">
        <f>After!I27</f>
        <v>0</v>
      </c>
      <c r="Q73" s="151">
        <f>After!M27</f>
        <v>0</v>
      </c>
    </row>
    <row r="74" spans="2:17" x14ac:dyDescent="0.3">
      <c r="B74" s="153" t="str">
        <f>After!E$3</f>
        <v>Monthly DQA</v>
      </c>
      <c r="C74" s="153" t="str">
        <f>After!G$3</f>
        <v>DS-TB</v>
      </c>
      <c r="D74" s="153" t="str">
        <f>After!C$3</f>
        <v>After</v>
      </c>
      <c r="E74" s="153" t="str">
        <f>Before!$C$4</f>
        <v>Zolile Nonzapa</v>
      </c>
      <c r="F74" s="154">
        <f>Before!$C$5</f>
        <v>0</v>
      </c>
      <c r="G74" s="153">
        <f>Before!$E$6</f>
        <v>0</v>
      </c>
      <c r="H74" s="153">
        <f>Before!$E$5</f>
        <v>0</v>
      </c>
      <c r="I74" s="153">
        <f>Before!$E$4</f>
        <v>0</v>
      </c>
      <c r="J74" s="156" t="str">
        <f>Before!G$5</f>
        <v>doh</v>
      </c>
      <c r="K74" s="151" t="s">
        <v>269</v>
      </c>
      <c r="L74" s="151" t="s">
        <v>155</v>
      </c>
      <c r="M74" s="151" t="str">
        <f>After!B32</f>
        <v xml:space="preserve">TB contact </v>
      </c>
      <c r="N74" s="151">
        <f>After!C32</f>
        <v>0</v>
      </c>
      <c r="O74" s="151">
        <f>After!E32</f>
        <v>0</v>
      </c>
      <c r="P74" s="151">
        <f>After!I32</f>
        <v>0</v>
      </c>
      <c r="Q74" s="151">
        <f>After!M32</f>
        <v>0</v>
      </c>
    </row>
    <row r="75" spans="2:17" x14ac:dyDescent="0.3">
      <c r="B75" s="153" t="str">
        <f>After!E$3</f>
        <v>Monthly DQA</v>
      </c>
      <c r="C75" s="153" t="str">
        <f>After!G$3</f>
        <v>DS-TB</v>
      </c>
      <c r="D75" s="153" t="str">
        <f>After!C$3</f>
        <v>After</v>
      </c>
      <c r="E75" s="153" t="str">
        <f>Before!$C$4</f>
        <v>Zolile Nonzapa</v>
      </c>
      <c r="F75" s="154">
        <f>Before!$C$5</f>
        <v>0</v>
      </c>
      <c r="G75" s="153">
        <f>Before!$E$6</f>
        <v>0</v>
      </c>
      <c r="H75" s="153">
        <f>Before!$E$5</f>
        <v>0</v>
      </c>
      <c r="I75" s="153">
        <f>Before!$E$4</f>
        <v>0</v>
      </c>
      <c r="J75" s="156" t="str">
        <f>Before!G$5</f>
        <v>doh</v>
      </c>
      <c r="K75" s="151" t="s">
        <v>269</v>
      </c>
      <c r="L75" s="151" t="s">
        <v>155</v>
      </c>
      <c r="M75" s="151" t="str">
        <f>After!B33</f>
        <v>TB contact start on TPT</v>
      </c>
      <c r="N75" s="151">
        <f>After!C33</f>
        <v>0</v>
      </c>
      <c r="O75" s="151">
        <f>After!E33</f>
        <v>0</v>
      </c>
      <c r="P75" s="151">
        <f>After!I33</f>
        <v>0</v>
      </c>
      <c r="Q75" s="151">
        <f>After!M33</f>
        <v>0</v>
      </c>
    </row>
    <row r="76" spans="2:17" x14ac:dyDescent="0.3">
      <c r="B76" s="153" t="str">
        <f>After!E$3</f>
        <v>Monthly DQA</v>
      </c>
      <c r="C76" s="153" t="str">
        <f>After!G$3</f>
        <v>DS-TB</v>
      </c>
      <c r="D76" s="153" t="str">
        <f>After!C$3</f>
        <v>After</v>
      </c>
      <c r="E76" s="153" t="str">
        <f>Before!$C$4</f>
        <v>Zolile Nonzapa</v>
      </c>
      <c r="F76" s="154">
        <f>Before!$C$5</f>
        <v>0</v>
      </c>
      <c r="G76" s="153">
        <f>Before!$E$6</f>
        <v>0</v>
      </c>
      <c r="H76" s="153">
        <f>Before!$E$5</f>
        <v>0</v>
      </c>
      <c r="I76" s="153">
        <f>Before!$E$4</f>
        <v>0</v>
      </c>
      <c r="J76" s="156" t="str">
        <f>Before!G$5</f>
        <v>doh</v>
      </c>
      <c r="K76" s="151" t="s">
        <v>269</v>
      </c>
      <c r="L76" s="151" t="s">
        <v>270</v>
      </c>
      <c r="M76" s="151" t="str">
        <f>After!B36</f>
        <v>PLWHIV on ART eligible for TPT</v>
      </c>
      <c r="N76" s="151">
        <f>After!D36</f>
        <v>0</v>
      </c>
      <c r="O76" s="151">
        <f>After!F36</f>
        <v>0</v>
      </c>
      <c r="P76" s="151">
        <f>After!J36</f>
        <v>0</v>
      </c>
      <c r="Q76" s="151">
        <f>After!N36</f>
        <v>0</v>
      </c>
    </row>
    <row r="77" spans="2:17" x14ac:dyDescent="0.3">
      <c r="B77" s="153" t="str">
        <f>After!E$3</f>
        <v>Monthly DQA</v>
      </c>
      <c r="C77" s="153" t="str">
        <f>After!G$3</f>
        <v>DS-TB</v>
      </c>
      <c r="D77" s="153" t="str">
        <f>After!C$3</f>
        <v>After</v>
      </c>
      <c r="E77" s="153" t="str">
        <f>Before!$C$4</f>
        <v>Zolile Nonzapa</v>
      </c>
      <c r="F77" s="154">
        <f>Before!$C$5</f>
        <v>0</v>
      </c>
      <c r="G77" s="153">
        <f>Before!$E$6</f>
        <v>0</v>
      </c>
      <c r="H77" s="153">
        <f>Before!$E$5</f>
        <v>0</v>
      </c>
      <c r="I77" s="153">
        <f>Before!$E$4</f>
        <v>0</v>
      </c>
      <c r="J77" s="156" t="str">
        <f>Before!G$5</f>
        <v>doh</v>
      </c>
      <c r="K77" s="151" t="s">
        <v>269</v>
      </c>
      <c r="L77" s="151" t="s">
        <v>270</v>
      </c>
      <c r="M77" s="151" t="str">
        <f>After!B37</f>
        <v>PLWHIV on ART started TPT</v>
      </c>
      <c r="N77" s="151">
        <f>After!D37</f>
        <v>0</v>
      </c>
      <c r="O77" s="151">
        <f>After!F37</f>
        <v>0</v>
      </c>
      <c r="P77" s="151">
        <f>After!J37</f>
        <v>0</v>
      </c>
      <c r="Q77" s="151">
        <f>After!N37</f>
        <v>0</v>
      </c>
    </row>
    <row r="78" spans="2:17" x14ac:dyDescent="0.3">
      <c r="B78" s="153" t="str">
        <f>After!E$3</f>
        <v>Monthly DQA</v>
      </c>
      <c r="C78" s="153" t="str">
        <f>After!G$3</f>
        <v>DS-TB</v>
      </c>
      <c r="D78" s="153" t="str">
        <f>After!C$3</f>
        <v>After</v>
      </c>
      <c r="E78" s="153" t="str">
        <f>Before!$C$4</f>
        <v>Zolile Nonzapa</v>
      </c>
      <c r="F78" s="154">
        <f>Before!$C$5</f>
        <v>0</v>
      </c>
      <c r="G78" s="153">
        <f>Before!$E$6</f>
        <v>0</v>
      </c>
      <c r="H78" s="153">
        <f>Before!$E$5</f>
        <v>0</v>
      </c>
      <c r="I78" s="153">
        <f>Before!$E$4</f>
        <v>0</v>
      </c>
      <c r="J78" s="156" t="str">
        <f>Before!G$5</f>
        <v>doh</v>
      </c>
      <c r="K78" s="151" t="s">
        <v>271</v>
      </c>
      <c r="L78" s="151" t="s">
        <v>270</v>
      </c>
      <c r="M78" s="151" t="str">
        <f>After!B57</f>
        <v>DSTB Treatment success</v>
      </c>
      <c r="N78" s="151">
        <f>After!C57</f>
        <v>0</v>
      </c>
      <c r="O78" s="151">
        <f>After!D57</f>
        <v>0</v>
      </c>
    </row>
    <row r="79" spans="2:17" x14ac:dyDescent="0.3">
      <c r="B79" s="153" t="str">
        <f>After!E$3</f>
        <v>Monthly DQA</v>
      </c>
      <c r="C79" s="153" t="str">
        <f>After!G$3</f>
        <v>DS-TB</v>
      </c>
      <c r="D79" s="153" t="str">
        <f>After!C$3</f>
        <v>After</v>
      </c>
      <c r="E79" s="153" t="str">
        <f>Before!$C$4</f>
        <v>Zolile Nonzapa</v>
      </c>
      <c r="F79" s="154">
        <f>Before!$C$5</f>
        <v>0</v>
      </c>
      <c r="G79" s="153">
        <f>Before!$E$6</f>
        <v>0</v>
      </c>
      <c r="H79" s="153">
        <f>Before!$E$5</f>
        <v>0</v>
      </c>
      <c r="I79" s="153">
        <f>Before!$E$4</f>
        <v>0</v>
      </c>
      <c r="J79" s="156" t="str">
        <f>Before!G$5</f>
        <v>doh</v>
      </c>
      <c r="K79" s="151" t="s">
        <v>271</v>
      </c>
      <c r="L79" s="151" t="s">
        <v>270</v>
      </c>
      <c r="M79" s="151" t="str">
        <f>After!B59</f>
        <v>DSTB LTFU</v>
      </c>
      <c r="N79" s="151">
        <f>After!C59</f>
        <v>0</v>
      </c>
      <c r="O79" s="151">
        <f>After!D59</f>
        <v>0</v>
      </c>
    </row>
    <row r="80" spans="2:17" x14ac:dyDescent="0.3">
      <c r="B80" s="153" t="str">
        <f>After!E$3</f>
        <v>Monthly DQA</v>
      </c>
      <c r="C80" s="153" t="str">
        <f>After!G$3</f>
        <v>DS-TB</v>
      </c>
      <c r="D80" s="153" t="str">
        <f>After!C$3</f>
        <v>After</v>
      </c>
      <c r="E80" s="153" t="str">
        <f>Before!$C$4</f>
        <v>Zolile Nonzapa</v>
      </c>
      <c r="F80" s="154">
        <f>Before!$C$5</f>
        <v>0</v>
      </c>
      <c r="G80" s="153">
        <f>Before!$E$6</f>
        <v>0</v>
      </c>
      <c r="H80" s="153">
        <f>Before!$E$5</f>
        <v>0</v>
      </c>
      <c r="I80" s="153">
        <f>Before!$E$4</f>
        <v>0</v>
      </c>
      <c r="J80" s="156" t="str">
        <f>Before!G$5</f>
        <v>doh</v>
      </c>
      <c r="K80" s="151" t="s">
        <v>271</v>
      </c>
      <c r="L80" s="151" t="s">
        <v>270</v>
      </c>
      <c r="M80" s="151" t="str">
        <f>After!B61</f>
        <v>DSTB Treatment Failure</v>
      </c>
      <c r="N80" s="151">
        <f>After!C61</f>
        <v>0</v>
      </c>
      <c r="O80" s="151">
        <f>After!D61</f>
        <v>0</v>
      </c>
    </row>
    <row r="81" spans="2:17" x14ac:dyDescent="0.3">
      <c r="B81" s="153" t="str">
        <f>After!E$3</f>
        <v>Monthly DQA</v>
      </c>
      <c r="C81" s="153" t="str">
        <f>After!G$3</f>
        <v>DS-TB</v>
      </c>
      <c r="D81" s="153" t="str">
        <f>After!C$3</f>
        <v>After</v>
      </c>
      <c r="E81" s="153" t="str">
        <f>Before!$C$4</f>
        <v>Zolile Nonzapa</v>
      </c>
      <c r="F81" s="154">
        <f>Before!$C$5</f>
        <v>0</v>
      </c>
      <c r="G81" s="153">
        <f>Before!$E$6</f>
        <v>0</v>
      </c>
      <c r="H81" s="153">
        <f>Before!$E$5</f>
        <v>0</v>
      </c>
      <c r="I81" s="153">
        <f>Before!$E$4</f>
        <v>0</v>
      </c>
      <c r="J81" s="156" t="str">
        <f>Before!G$5</f>
        <v>doh</v>
      </c>
      <c r="K81" s="151" t="s">
        <v>271</v>
      </c>
      <c r="L81" s="151" t="s">
        <v>270</v>
      </c>
      <c r="M81" s="151" t="str">
        <f>After!B63</f>
        <v>DSTB Died</v>
      </c>
      <c r="N81" s="151">
        <f>After!C63</f>
        <v>0</v>
      </c>
      <c r="O81" s="151">
        <f>After!D63</f>
        <v>0</v>
      </c>
    </row>
    <row r="82" spans="2:17" x14ac:dyDescent="0.3">
      <c r="B82" s="153" t="str">
        <f>After!E$3</f>
        <v>Monthly DQA</v>
      </c>
      <c r="C82" s="153" t="str">
        <f>After!G$3</f>
        <v>DS-TB</v>
      </c>
      <c r="D82" s="153" t="str">
        <f>After!C$3</f>
        <v>After</v>
      </c>
      <c r="E82" s="153" t="str">
        <f>Before!$C$4</f>
        <v>Zolile Nonzapa</v>
      </c>
      <c r="F82" s="154">
        <f>Before!$C$5</f>
        <v>0</v>
      </c>
      <c r="G82" s="153">
        <f>Before!$E$6</f>
        <v>0</v>
      </c>
      <c r="H82" s="153">
        <f>Before!$E$5</f>
        <v>0</v>
      </c>
      <c r="I82" s="153">
        <f>Before!$E$4</f>
        <v>0</v>
      </c>
      <c r="J82" s="156" t="str">
        <f>Before!G$5</f>
        <v>doh</v>
      </c>
      <c r="K82" s="151" t="s">
        <v>271</v>
      </c>
      <c r="L82" s="151" t="s">
        <v>270</v>
      </c>
      <c r="M82" s="151" t="str">
        <f>After!B65</f>
        <v>Not evaluated</v>
      </c>
      <c r="N82" s="151">
        <f>After!C65</f>
        <v>0</v>
      </c>
      <c r="O82" s="151">
        <f>After!D65</f>
        <v>0</v>
      </c>
    </row>
    <row r="83" spans="2:17" x14ac:dyDescent="0.3">
      <c r="B83" s="153" t="str">
        <f>After!E$3</f>
        <v>Monthly DQA</v>
      </c>
      <c r="C83" s="153" t="str">
        <f>After!G$3</f>
        <v>DS-TB</v>
      </c>
      <c r="D83" s="153" t="str">
        <f>After!C$3</f>
        <v>After</v>
      </c>
      <c r="E83" s="153" t="str">
        <f>Before!$C$4</f>
        <v>Zolile Nonzapa</v>
      </c>
      <c r="F83" s="154">
        <f>Before!$C$5</f>
        <v>0</v>
      </c>
      <c r="G83" s="153">
        <f>Before!$E$6</f>
        <v>0</v>
      </c>
      <c r="H83" s="153">
        <f>Before!$E$5</f>
        <v>0</v>
      </c>
      <c r="I83" s="153">
        <f>Before!$E$4</f>
        <v>0</v>
      </c>
      <c r="J83" s="156" t="str">
        <f>Before!G$5</f>
        <v>doh</v>
      </c>
      <c r="K83" s="151" t="s">
        <v>271</v>
      </c>
      <c r="L83" s="151" t="s">
        <v>270</v>
      </c>
      <c r="M83" s="151" t="str">
        <f>After!B67</f>
        <v>DSTB Total</v>
      </c>
      <c r="N83" s="151">
        <f>After!C67</f>
        <v>0</v>
      </c>
      <c r="O83" s="151">
        <f>After!D67</f>
        <v>0</v>
      </c>
    </row>
    <row r="84" spans="2:17" x14ac:dyDescent="0.3">
      <c r="B84" s="153" t="str">
        <f>After!E$3</f>
        <v>Monthly DQA</v>
      </c>
      <c r="C84" s="153" t="str">
        <f>After!G$3</f>
        <v>DS-TB</v>
      </c>
      <c r="D84" s="153" t="str">
        <f>After!C$3</f>
        <v>After</v>
      </c>
      <c r="E84" s="153" t="str">
        <f>Before!$C$4</f>
        <v>Zolile Nonzapa</v>
      </c>
      <c r="F84" s="154">
        <f>Before!$C$5</f>
        <v>0</v>
      </c>
      <c r="G84" s="153">
        <f>Before!$E$6</f>
        <v>0</v>
      </c>
      <c r="H84" s="153">
        <f>Before!$E$5</f>
        <v>0</v>
      </c>
      <c r="I84" s="153">
        <f>Before!$E$4</f>
        <v>0</v>
      </c>
      <c r="J84" s="156" t="str">
        <f>Before!G$5</f>
        <v>doh</v>
      </c>
      <c r="K84" s="151" t="s">
        <v>271</v>
      </c>
      <c r="L84" s="151" t="s">
        <v>270</v>
      </c>
      <c r="M84" s="151" t="str">
        <f>After!B68</f>
        <v>DSTB Transfer out (TFO)</v>
      </c>
      <c r="N84" s="151">
        <f>After!C68</f>
        <v>0</v>
      </c>
      <c r="O84" s="151">
        <f>After!D68</f>
        <v>0</v>
      </c>
    </row>
    <row r="85" spans="2:17" x14ac:dyDescent="0.3">
      <c r="B85" s="153" t="str">
        <f>After!E$3</f>
        <v>Monthly DQA</v>
      </c>
      <c r="C85" s="153" t="str">
        <f>After!G$3</f>
        <v>DS-TB</v>
      </c>
      <c r="D85" s="153" t="str">
        <f>After!C$3</f>
        <v>After</v>
      </c>
      <c r="E85" s="153" t="str">
        <f>Before!$C$4</f>
        <v>Zolile Nonzapa</v>
      </c>
      <c r="F85" s="154">
        <f>Before!$C$5</f>
        <v>0</v>
      </c>
      <c r="G85" s="153">
        <f>Before!$E$6</f>
        <v>0</v>
      </c>
      <c r="H85" s="153">
        <f>Before!$E$5</f>
        <v>0</v>
      </c>
      <c r="I85" s="153">
        <f>Before!$E$4</f>
        <v>0</v>
      </c>
      <c r="J85" s="156" t="str">
        <f>Before!G$5</f>
        <v>doh</v>
      </c>
      <c r="K85" s="151" t="s">
        <v>271</v>
      </c>
      <c r="L85" s="151" t="s">
        <v>270</v>
      </c>
      <c r="M85" s="151" t="str">
        <f>After!B70</f>
        <v>TB Rif resistant</v>
      </c>
      <c r="N85" s="151">
        <f>After!C70</f>
        <v>0</v>
      </c>
      <c r="O85" s="151">
        <f>After!D70</f>
        <v>0</v>
      </c>
    </row>
    <row r="86" spans="2:17" x14ac:dyDescent="0.3">
      <c r="B86" s="153" t="str">
        <f>After!E$3</f>
        <v>Monthly DQA</v>
      </c>
      <c r="C86" s="153" t="str">
        <f>After!G$3</f>
        <v>DS-TB</v>
      </c>
      <c r="D86" s="153" t="str">
        <f>After!C$3</f>
        <v>After</v>
      </c>
      <c r="E86" s="153" t="str">
        <f>Before!$C$4</f>
        <v>Zolile Nonzapa</v>
      </c>
      <c r="F86" s="154">
        <f>Before!$C$5</f>
        <v>0</v>
      </c>
      <c r="G86" s="153">
        <f>Before!$E$6</f>
        <v>0</v>
      </c>
      <c r="H86" s="153">
        <f>Before!$E$5</f>
        <v>0</v>
      </c>
      <c r="I86" s="153">
        <f>Before!$E$4</f>
        <v>0</v>
      </c>
      <c r="J86" s="156" t="str">
        <f>Before!G$5</f>
        <v>doh</v>
      </c>
      <c r="K86" s="151" t="s">
        <v>271</v>
      </c>
      <c r="L86" s="151" t="s">
        <v>270</v>
      </c>
      <c r="M86" s="151" t="str">
        <f>After!B71</f>
        <v>TB MDR</v>
      </c>
      <c r="N86" s="151">
        <f>After!C71</f>
        <v>0</v>
      </c>
      <c r="O86" s="151">
        <f>After!D71</f>
        <v>0</v>
      </c>
    </row>
    <row r="87" spans="2:17" x14ac:dyDescent="0.3">
      <c r="B87" s="153" t="str">
        <f>After!E$3</f>
        <v>Monthly DQA</v>
      </c>
      <c r="C87" s="153" t="str">
        <f>After!G$3</f>
        <v>DS-TB</v>
      </c>
      <c r="D87" s="153" t="str">
        <f>After!C$3</f>
        <v>After</v>
      </c>
      <c r="E87" s="153" t="str">
        <f>Before!$C$4</f>
        <v>Zolile Nonzapa</v>
      </c>
      <c r="F87" s="154">
        <f>Before!$C$5</f>
        <v>0</v>
      </c>
      <c r="G87" s="153">
        <f>Before!$E$6</f>
        <v>0</v>
      </c>
      <c r="H87" s="153">
        <f>Before!$E$5</f>
        <v>0</v>
      </c>
      <c r="I87" s="153">
        <f>Before!$E$4</f>
        <v>0</v>
      </c>
      <c r="J87" s="156" t="str">
        <f>Before!G$5</f>
        <v>doh</v>
      </c>
      <c r="K87" s="151" t="s">
        <v>271</v>
      </c>
      <c r="L87" s="151" t="s">
        <v>270</v>
      </c>
      <c r="M87" s="151" t="str">
        <f>After!B72</f>
        <v>TB Total all cases</v>
      </c>
      <c r="N87" s="151">
        <f>After!C72</f>
        <v>0</v>
      </c>
      <c r="O87" s="151">
        <f>After!D72</f>
        <v>0</v>
      </c>
    </row>
    <row r="88" spans="2:17" x14ac:dyDescent="0.3">
      <c r="B88" s="153" t="str">
        <f>After!E$3</f>
        <v>Monthly DQA</v>
      </c>
      <c r="C88" s="153" t="str">
        <f>After!G$3</f>
        <v>DS-TB</v>
      </c>
      <c r="D88" s="153" t="str">
        <f>After!C$3</f>
        <v>After</v>
      </c>
      <c r="E88" s="153" t="str">
        <f>Before!$C$4</f>
        <v>Zolile Nonzapa</v>
      </c>
      <c r="F88" s="154">
        <f>Before!$C$5</f>
        <v>0</v>
      </c>
      <c r="G88" s="153">
        <f>Before!$E$6</f>
        <v>0</v>
      </c>
      <c r="H88" s="153">
        <f>Before!$E$5</f>
        <v>0</v>
      </c>
      <c r="I88" s="153">
        <f>Before!$E$4</f>
        <v>0</v>
      </c>
      <c r="J88" s="156" t="str">
        <f>Before!G$5</f>
        <v>doh</v>
      </c>
      <c r="K88" s="151" t="s">
        <v>271</v>
      </c>
      <c r="L88" s="151" t="s">
        <v>270</v>
      </c>
      <c r="M88" s="151" t="str">
        <f>After!B73</f>
        <v>Duplicates found</v>
      </c>
      <c r="N88" s="151">
        <f>After!C73</f>
        <v>0</v>
      </c>
      <c r="O88" s="151">
        <f>After!D73</f>
        <v>0</v>
      </c>
    </row>
    <row r="89" spans="2:17" x14ac:dyDescent="0.3">
      <c r="B89" s="153" t="str">
        <f>After!E$3</f>
        <v>Monthly DQA</v>
      </c>
      <c r="C89" s="153" t="str">
        <f>After!G$3</f>
        <v>DS-TB</v>
      </c>
      <c r="D89" s="153" t="str">
        <f>After!C$3</f>
        <v>After</v>
      </c>
      <c r="E89" s="153" t="str">
        <f>Before!$C$4</f>
        <v>Zolile Nonzapa</v>
      </c>
      <c r="F89" s="154">
        <f>Before!$C$5</f>
        <v>0</v>
      </c>
      <c r="G89" s="153">
        <f>Before!$E$6</f>
        <v>0</v>
      </c>
      <c r="H89" s="153">
        <f>Before!$E$5</f>
        <v>0</v>
      </c>
      <c r="I89" s="153">
        <f>Before!$E$4</f>
        <v>0</v>
      </c>
      <c r="J89" s="156" t="str">
        <f>Before!G$5</f>
        <v>doh</v>
      </c>
      <c r="K89" s="151" t="s">
        <v>268</v>
      </c>
      <c r="L89" s="151" t="s">
        <v>272</v>
      </c>
      <c r="M89" s="151" t="s">
        <v>158</v>
      </c>
      <c r="N89" s="151">
        <f>After!D12</f>
        <v>0</v>
      </c>
      <c r="O89" s="151">
        <f>After!F12</f>
        <v>0</v>
      </c>
      <c r="P89" s="151">
        <f>After!J12</f>
        <v>0</v>
      </c>
      <c r="Q89" s="151">
        <f>After!N12</f>
        <v>0</v>
      </c>
    </row>
    <row r="90" spans="2:17" x14ac:dyDescent="0.3">
      <c r="B90" s="153" t="str">
        <f>After!E$3</f>
        <v>Monthly DQA</v>
      </c>
      <c r="C90" s="153" t="str">
        <f>After!G$3</f>
        <v>DS-TB</v>
      </c>
      <c r="D90" s="153" t="str">
        <f>After!C$3</f>
        <v>After</v>
      </c>
      <c r="E90" s="153" t="str">
        <f>Before!$C$4</f>
        <v>Zolile Nonzapa</v>
      </c>
      <c r="F90" s="154">
        <f>Before!$C$5</f>
        <v>0</v>
      </c>
      <c r="G90" s="153">
        <f>Before!$E$6</f>
        <v>0</v>
      </c>
      <c r="H90" s="153">
        <f>Before!$E$5</f>
        <v>0</v>
      </c>
      <c r="I90" s="153">
        <f>Before!$E$4</f>
        <v>0</v>
      </c>
      <c r="J90" s="156" t="str">
        <f>Before!G$5</f>
        <v>doh</v>
      </c>
      <c r="K90" s="151" t="s">
        <v>268</v>
      </c>
      <c r="L90" s="151" t="s">
        <v>272</v>
      </c>
      <c r="M90" s="151" t="s">
        <v>159</v>
      </c>
      <c r="N90" s="151">
        <f>After!D13</f>
        <v>0</v>
      </c>
      <c r="O90" s="151">
        <f>After!F13</f>
        <v>0</v>
      </c>
      <c r="P90" s="151">
        <f>After!J13</f>
        <v>0</v>
      </c>
      <c r="Q90" s="151">
        <f>After!N13</f>
        <v>0</v>
      </c>
    </row>
    <row r="91" spans="2:17" x14ac:dyDescent="0.3">
      <c r="B91" s="153" t="str">
        <f>After!E$3</f>
        <v>Monthly DQA</v>
      </c>
      <c r="C91" s="153" t="str">
        <f>After!G$3</f>
        <v>DS-TB</v>
      </c>
      <c r="D91" s="153" t="str">
        <f>After!C$3</f>
        <v>After</v>
      </c>
      <c r="E91" s="153" t="str">
        <f>Before!$C$4</f>
        <v>Zolile Nonzapa</v>
      </c>
      <c r="F91" s="154">
        <f>Before!$C$5</f>
        <v>0</v>
      </c>
      <c r="G91" s="153">
        <f>Before!$E$6</f>
        <v>0</v>
      </c>
      <c r="H91" s="153">
        <f>Before!$E$5</f>
        <v>0</v>
      </c>
      <c r="I91" s="153">
        <f>Before!$E$4</f>
        <v>0</v>
      </c>
      <c r="J91" s="156" t="str">
        <f>Before!G$5</f>
        <v>doh</v>
      </c>
      <c r="K91" s="151" t="s">
        <v>268</v>
      </c>
      <c r="L91" s="151" t="s">
        <v>272</v>
      </c>
      <c r="M91" s="151" t="s">
        <v>161</v>
      </c>
      <c r="N91" s="151">
        <f>After!D15</f>
        <v>0</v>
      </c>
      <c r="O91" s="151">
        <f>After!F15</f>
        <v>0</v>
      </c>
      <c r="P91" s="151">
        <f>After!J15</f>
        <v>0</v>
      </c>
      <c r="Q91" s="151">
        <f>After!N15</f>
        <v>0</v>
      </c>
    </row>
    <row r="92" spans="2:17" x14ac:dyDescent="0.3">
      <c r="B92" s="153" t="str">
        <f>After!E$3</f>
        <v>Monthly DQA</v>
      </c>
      <c r="C92" s="153" t="str">
        <f>After!G$3</f>
        <v>DS-TB</v>
      </c>
      <c r="D92" s="153" t="str">
        <f>After!C$3</f>
        <v>After</v>
      </c>
      <c r="E92" s="153" t="str">
        <f>Before!$C$4</f>
        <v>Zolile Nonzapa</v>
      </c>
      <c r="F92" s="154">
        <f>Before!$C$5</f>
        <v>0</v>
      </c>
      <c r="G92" s="153">
        <f>Before!$E$6</f>
        <v>0</v>
      </c>
      <c r="H92" s="153">
        <f>Before!$E$5</f>
        <v>0</v>
      </c>
      <c r="I92" s="153">
        <f>Before!$E$4</f>
        <v>0</v>
      </c>
      <c r="J92" s="156" t="str">
        <f>Before!G$5</f>
        <v>doh</v>
      </c>
      <c r="K92" s="151" t="s">
        <v>268</v>
      </c>
      <c r="L92" s="151" t="s">
        <v>272</v>
      </c>
      <c r="M92" s="151" t="s">
        <v>163</v>
      </c>
      <c r="N92" s="151">
        <f>After!D17</f>
        <v>0</v>
      </c>
      <c r="O92" s="151">
        <f>After!F17</f>
        <v>0</v>
      </c>
      <c r="P92" s="151">
        <f>After!J17</f>
        <v>0</v>
      </c>
      <c r="Q92" s="151">
        <f>After!N17</f>
        <v>0</v>
      </c>
    </row>
    <row r="93" spans="2:17" x14ac:dyDescent="0.3">
      <c r="B93" s="153" t="str">
        <f>After!E$3</f>
        <v>Monthly DQA</v>
      </c>
      <c r="C93" s="153" t="str">
        <f>After!G$3</f>
        <v>DS-TB</v>
      </c>
      <c r="D93" s="153" t="str">
        <f>After!C$3</f>
        <v>After</v>
      </c>
      <c r="E93" s="153" t="str">
        <f>Before!$C$4</f>
        <v>Zolile Nonzapa</v>
      </c>
      <c r="F93" s="154">
        <f>Before!$C$5</f>
        <v>0</v>
      </c>
      <c r="G93" s="153">
        <f>Before!$E$6</f>
        <v>0</v>
      </c>
      <c r="H93" s="153">
        <f>Before!$E$5</f>
        <v>0</v>
      </c>
      <c r="I93" s="153">
        <f>Before!$E$4</f>
        <v>0</v>
      </c>
      <c r="J93" s="156" t="str">
        <f>Before!G$5</f>
        <v>doh</v>
      </c>
      <c r="K93" s="151" t="s">
        <v>268</v>
      </c>
      <c r="L93" s="151" t="s">
        <v>272</v>
      </c>
      <c r="M93" s="151" t="s">
        <v>164</v>
      </c>
      <c r="N93" s="151">
        <f>After!D18</f>
        <v>0</v>
      </c>
      <c r="O93" s="151">
        <f>After!F18</f>
        <v>0</v>
      </c>
      <c r="P93" s="151">
        <f>After!J18</f>
        <v>0</v>
      </c>
      <c r="Q93" s="151">
        <f>After!N18</f>
        <v>0</v>
      </c>
    </row>
    <row r="94" spans="2:17" x14ac:dyDescent="0.3">
      <c r="B94" s="153" t="str">
        <f>After!E$3</f>
        <v>Monthly DQA</v>
      </c>
      <c r="C94" s="153" t="str">
        <f>After!G$3</f>
        <v>DS-TB</v>
      </c>
      <c r="D94" s="153" t="str">
        <f>After!C$3</f>
        <v>After</v>
      </c>
      <c r="E94" s="153" t="str">
        <f>Before!$C$4</f>
        <v>Zolile Nonzapa</v>
      </c>
      <c r="F94" s="154">
        <f>Before!$C$5</f>
        <v>0</v>
      </c>
      <c r="G94" s="153">
        <f>Before!$E$6</f>
        <v>0</v>
      </c>
      <c r="H94" s="153">
        <f>Before!$E$5</f>
        <v>0</v>
      </c>
      <c r="I94" s="153">
        <f>Before!$E$4</f>
        <v>0</v>
      </c>
      <c r="J94" s="156" t="str">
        <f>Before!G$5</f>
        <v>doh</v>
      </c>
      <c r="K94" s="151" t="s">
        <v>268</v>
      </c>
      <c r="L94" s="151" t="s">
        <v>272</v>
      </c>
      <c r="M94" s="151" t="s">
        <v>165</v>
      </c>
      <c r="N94" s="151">
        <f>After!D19</f>
        <v>0</v>
      </c>
      <c r="O94" s="151">
        <f>After!F19</f>
        <v>0</v>
      </c>
      <c r="P94" s="151">
        <f>After!J19</f>
        <v>0</v>
      </c>
      <c r="Q94" s="151">
        <f>After!N19</f>
        <v>0</v>
      </c>
    </row>
    <row r="95" spans="2:17" x14ac:dyDescent="0.3">
      <c r="B95" s="153" t="str">
        <f>After!E$3</f>
        <v>Monthly DQA</v>
      </c>
      <c r="C95" s="153" t="str">
        <f>After!G$3</f>
        <v>DS-TB</v>
      </c>
      <c r="D95" s="153" t="str">
        <f>After!C$3</f>
        <v>After</v>
      </c>
      <c r="E95" s="153" t="str">
        <f>Before!$C$4</f>
        <v>Zolile Nonzapa</v>
      </c>
      <c r="F95" s="154">
        <f>Before!$C$5</f>
        <v>0</v>
      </c>
      <c r="G95" s="153">
        <f>Before!$E$6</f>
        <v>0</v>
      </c>
      <c r="H95" s="153">
        <f>Before!$E$5</f>
        <v>0</v>
      </c>
      <c r="I95" s="153">
        <f>Before!$E$4</f>
        <v>0</v>
      </c>
      <c r="J95" s="156" t="str">
        <f>Before!G$5</f>
        <v>doh</v>
      </c>
      <c r="K95" s="151" t="s">
        <v>268</v>
      </c>
      <c r="L95" s="151" t="s">
        <v>272</v>
      </c>
      <c r="M95" s="151" t="s">
        <v>166</v>
      </c>
      <c r="N95" s="151">
        <f>After!D20</f>
        <v>0</v>
      </c>
      <c r="O95" s="151">
        <f>After!F20</f>
        <v>0</v>
      </c>
      <c r="P95" s="151">
        <f>After!J20</f>
        <v>0</v>
      </c>
      <c r="Q95" s="151">
        <f>After!N20</f>
        <v>0</v>
      </c>
    </row>
    <row r="96" spans="2:17" x14ac:dyDescent="0.3">
      <c r="B96" s="153" t="str">
        <f>After!E$3</f>
        <v>Monthly DQA</v>
      </c>
      <c r="C96" s="153" t="str">
        <f>After!G$3</f>
        <v>DS-TB</v>
      </c>
      <c r="D96" s="153" t="str">
        <f>After!C$3</f>
        <v>After</v>
      </c>
      <c r="E96" s="153" t="str">
        <f>Before!$C$4</f>
        <v>Zolile Nonzapa</v>
      </c>
      <c r="F96" s="154">
        <f>Before!$C$5</f>
        <v>0</v>
      </c>
      <c r="G96" s="153">
        <f>Before!$E$6</f>
        <v>0</v>
      </c>
      <c r="H96" s="153">
        <f>Before!$E$5</f>
        <v>0</v>
      </c>
      <c r="I96" s="153">
        <f>Before!$E$4</f>
        <v>0</v>
      </c>
      <c r="J96" s="156" t="str">
        <f>Before!G$5</f>
        <v>doh</v>
      </c>
      <c r="K96" s="151" t="s">
        <v>268</v>
      </c>
      <c r="L96" s="151" t="s">
        <v>272</v>
      </c>
      <c r="M96" s="151" t="s">
        <v>168</v>
      </c>
      <c r="N96" s="151">
        <f>After!D22</f>
        <v>0</v>
      </c>
      <c r="O96" s="151">
        <f>After!F22</f>
        <v>0</v>
      </c>
      <c r="P96" s="151">
        <f>After!J22</f>
        <v>0</v>
      </c>
      <c r="Q96" s="151">
        <f>After!N22</f>
        <v>0</v>
      </c>
    </row>
    <row r="97" spans="2:17" x14ac:dyDescent="0.3">
      <c r="B97" s="153" t="str">
        <f>After!E$3</f>
        <v>Monthly DQA</v>
      </c>
      <c r="C97" s="153" t="str">
        <f>After!G$3</f>
        <v>DS-TB</v>
      </c>
      <c r="D97" s="153" t="str">
        <f>After!C$3</f>
        <v>After</v>
      </c>
      <c r="E97" s="153" t="str">
        <f>Before!$C$4</f>
        <v>Zolile Nonzapa</v>
      </c>
      <c r="F97" s="154">
        <f>Before!$C$5</f>
        <v>0</v>
      </c>
      <c r="G97" s="153">
        <f>Before!$E$6</f>
        <v>0</v>
      </c>
      <c r="H97" s="153">
        <f>Before!$E$5</f>
        <v>0</v>
      </c>
      <c r="I97" s="153">
        <f>Before!$E$4</f>
        <v>0</v>
      </c>
      <c r="J97" s="156" t="str">
        <f>Before!G$5</f>
        <v>doh</v>
      </c>
      <c r="K97" s="151" t="s">
        <v>268</v>
      </c>
      <c r="L97" s="151" t="s">
        <v>272</v>
      </c>
      <c r="M97" s="151" t="s">
        <v>170</v>
      </c>
      <c r="N97" s="151">
        <f>After!D24</f>
        <v>0</v>
      </c>
      <c r="O97" s="151">
        <f>After!F24</f>
        <v>0</v>
      </c>
      <c r="P97" s="151">
        <f>After!J24</f>
        <v>0</v>
      </c>
      <c r="Q97" s="151">
        <f>After!N24</f>
        <v>0</v>
      </c>
    </row>
    <row r="98" spans="2:17" x14ac:dyDescent="0.3">
      <c r="B98" s="153" t="str">
        <f>After!E$3</f>
        <v>Monthly DQA</v>
      </c>
      <c r="C98" s="153" t="str">
        <f>After!G$3</f>
        <v>DS-TB</v>
      </c>
      <c r="D98" s="153" t="str">
        <f>After!C$3</f>
        <v>After</v>
      </c>
      <c r="E98" s="153" t="str">
        <f>Before!$C$4</f>
        <v>Zolile Nonzapa</v>
      </c>
      <c r="F98" s="154">
        <f>Before!$C$5</f>
        <v>0</v>
      </c>
      <c r="G98" s="153">
        <f>Before!$E$6</f>
        <v>0</v>
      </c>
      <c r="H98" s="153">
        <f>Before!$E$5</f>
        <v>0</v>
      </c>
      <c r="I98" s="153">
        <f>Before!$E$4</f>
        <v>0</v>
      </c>
      <c r="J98" s="156" t="str">
        <f>Before!G$5</f>
        <v>doh</v>
      </c>
      <c r="K98" s="151" t="s">
        <v>268</v>
      </c>
      <c r="L98" s="151" t="s">
        <v>272</v>
      </c>
      <c r="M98" s="151" t="s">
        <v>175</v>
      </c>
      <c r="N98" s="151">
        <f>After!D27</f>
        <v>0</v>
      </c>
      <c r="O98" s="151">
        <f>After!F27</f>
        <v>0</v>
      </c>
      <c r="P98" s="151">
        <f>After!J27</f>
        <v>0</v>
      </c>
      <c r="Q98" s="151">
        <f>After!N27</f>
        <v>0</v>
      </c>
    </row>
    <row r="99" spans="2:17" x14ac:dyDescent="0.3">
      <c r="B99" s="153" t="str">
        <f>After!E$3</f>
        <v>Monthly DQA</v>
      </c>
      <c r="C99" s="153" t="str">
        <f>After!G$3</f>
        <v>DS-TB</v>
      </c>
      <c r="D99" s="153" t="str">
        <f>After!C$3</f>
        <v>After</v>
      </c>
      <c r="E99" s="153" t="str">
        <f>Before!$C$4</f>
        <v>Zolile Nonzapa</v>
      </c>
      <c r="F99" s="154">
        <f>Before!$C$5</f>
        <v>0</v>
      </c>
      <c r="G99" s="153">
        <f>Before!$E$6</f>
        <v>0</v>
      </c>
      <c r="H99" s="153">
        <f>Before!$E$5</f>
        <v>0</v>
      </c>
      <c r="I99" s="153">
        <f>Before!$E$4</f>
        <v>0</v>
      </c>
      <c r="J99" s="156" t="str">
        <f>Before!G$5</f>
        <v>doh</v>
      </c>
      <c r="K99" s="151" t="s">
        <v>269</v>
      </c>
      <c r="L99" s="151" t="s">
        <v>272</v>
      </c>
      <c r="M99" s="151" t="s">
        <v>179</v>
      </c>
      <c r="N99" s="151">
        <f>After!D32</f>
        <v>0</v>
      </c>
      <c r="O99" s="151">
        <f>After!F32</f>
        <v>0</v>
      </c>
      <c r="P99" s="151">
        <f>After!J32</f>
        <v>0</v>
      </c>
      <c r="Q99" s="151">
        <f>After!N32</f>
        <v>0</v>
      </c>
    </row>
    <row r="100" spans="2:17" x14ac:dyDescent="0.3">
      <c r="B100" s="153" t="str">
        <f>After!E$3</f>
        <v>Monthly DQA</v>
      </c>
      <c r="C100" s="153" t="str">
        <f>After!G$3</f>
        <v>DS-TB</v>
      </c>
      <c r="D100" s="153" t="str">
        <f>After!C$3</f>
        <v>After</v>
      </c>
      <c r="E100" s="153" t="str">
        <f>Before!$C$4</f>
        <v>Zolile Nonzapa</v>
      </c>
      <c r="F100" s="154">
        <f>Before!$C$5</f>
        <v>0</v>
      </c>
      <c r="G100" s="153">
        <f>Before!$E$6</f>
        <v>0</v>
      </c>
      <c r="H100" s="153">
        <f>Before!$E$5</f>
        <v>0</v>
      </c>
      <c r="I100" s="153">
        <f>Before!$E$4</f>
        <v>0</v>
      </c>
      <c r="J100" s="156" t="str">
        <f>Before!G$5</f>
        <v>doh</v>
      </c>
      <c r="K100" s="151" t="s">
        <v>269</v>
      </c>
      <c r="L100" s="151" t="s">
        <v>272</v>
      </c>
      <c r="M100" s="151" t="s">
        <v>180</v>
      </c>
      <c r="N100" s="151">
        <f>After!D33</f>
        <v>0</v>
      </c>
      <c r="O100" s="151">
        <f>After!F33</f>
        <v>0</v>
      </c>
      <c r="P100" s="151">
        <f>After!J33</f>
        <v>0</v>
      </c>
      <c r="Q100" s="151">
        <f>After!N33</f>
        <v>0</v>
      </c>
    </row>
    <row r="101" spans="2:17" x14ac:dyDescent="0.3">
      <c r="B101" s="153" t="str">
        <f>After!E$3</f>
        <v>Monthly DQA</v>
      </c>
      <c r="C101" s="153" t="str">
        <f>After!G$3</f>
        <v>DS-TB</v>
      </c>
      <c r="D101" s="153" t="str">
        <f>After!C$3</f>
        <v>After</v>
      </c>
      <c r="E101" s="153" t="str">
        <f>Before!$C$4</f>
        <v>Zolile Nonzapa</v>
      </c>
      <c r="F101" s="154">
        <f>Before!$C$5</f>
        <v>0</v>
      </c>
      <c r="G101" s="153">
        <f>Before!$E$6</f>
        <v>0</v>
      </c>
      <c r="H101" s="153">
        <f>Before!$E$5</f>
        <v>0</v>
      </c>
      <c r="I101" s="153">
        <f>Before!$E$4</f>
        <v>0</v>
      </c>
      <c r="J101" s="156" t="str">
        <f>Before!G$5</f>
        <v>doh</v>
      </c>
      <c r="K101" s="151" t="s">
        <v>273</v>
      </c>
      <c r="L101" s="151" t="s">
        <v>270</v>
      </c>
      <c r="M101" s="151" t="str">
        <f>After!B43</f>
        <v>TB identification results outstanding list</v>
      </c>
      <c r="P101" s="151">
        <f>After!C43</f>
        <v>0</v>
      </c>
    </row>
    <row r="102" spans="2:17" x14ac:dyDescent="0.3">
      <c r="B102" s="153" t="str">
        <f>After!E$3</f>
        <v>Monthly DQA</v>
      </c>
      <c r="C102" s="153" t="str">
        <f>After!G$3</f>
        <v>DS-TB</v>
      </c>
      <c r="D102" s="153" t="str">
        <f>After!C$3</f>
        <v>After</v>
      </c>
      <c r="E102" s="153" t="str">
        <f>Before!$C$4</f>
        <v>Zolile Nonzapa</v>
      </c>
      <c r="F102" s="154">
        <f>Before!$C$5</f>
        <v>0</v>
      </c>
      <c r="G102" s="153">
        <f>Before!$E$6</f>
        <v>0</v>
      </c>
      <c r="H102" s="153">
        <f>Before!$E$5</f>
        <v>0</v>
      </c>
      <c r="I102" s="153">
        <f>Before!$E$4</f>
        <v>0</v>
      </c>
      <c r="J102" s="156" t="str">
        <f>Before!G$5</f>
        <v>doh</v>
      </c>
      <c r="K102" s="151" t="s">
        <v>273</v>
      </c>
      <c r="L102" s="151" t="s">
        <v>270</v>
      </c>
      <c r="M102" s="151" t="str">
        <f>After!B44</f>
        <v>Waiting for TB treatment list</v>
      </c>
      <c r="P102" s="151">
        <f>After!C44</f>
        <v>0</v>
      </c>
    </row>
    <row r="103" spans="2:17" x14ac:dyDescent="0.3">
      <c r="B103" s="153" t="str">
        <f>After!E$3</f>
        <v>Monthly DQA</v>
      </c>
      <c r="C103" s="153" t="str">
        <f>After!G$3</f>
        <v>DS-TB</v>
      </c>
      <c r="D103" s="153" t="str">
        <f>After!C$3</f>
        <v>After</v>
      </c>
      <c r="E103" s="153" t="str">
        <f>Before!$C$4</f>
        <v>Zolile Nonzapa</v>
      </c>
      <c r="F103" s="154">
        <f>Before!$C$5</f>
        <v>0</v>
      </c>
      <c r="G103" s="153">
        <f>Before!$E$6</f>
        <v>0</v>
      </c>
      <c r="H103" s="153">
        <f>Before!$E$5</f>
        <v>0</v>
      </c>
      <c r="I103" s="153">
        <f>Before!$E$4</f>
        <v>0</v>
      </c>
      <c r="J103" s="156" t="str">
        <f>Before!G$5</f>
        <v>doh</v>
      </c>
      <c r="K103" s="151" t="s">
        <v>273</v>
      </c>
      <c r="L103" s="151" t="s">
        <v>270</v>
      </c>
      <c r="M103" s="151" t="str">
        <f>After!B45</f>
        <v>DSTB coversion sputa required list</v>
      </c>
      <c r="P103" s="151">
        <f>After!C45</f>
        <v>0</v>
      </c>
    </row>
    <row r="104" spans="2:17" x14ac:dyDescent="0.3">
      <c r="B104" s="153" t="str">
        <f>After!E$3</f>
        <v>Monthly DQA</v>
      </c>
      <c r="C104" s="153" t="str">
        <f>After!G$3</f>
        <v>DS-TB</v>
      </c>
      <c r="D104" s="153" t="str">
        <f>After!C$3</f>
        <v>After</v>
      </c>
      <c r="E104" s="153" t="str">
        <f>Before!$C$4</f>
        <v>Zolile Nonzapa</v>
      </c>
      <c r="F104" s="154">
        <f>Before!$C$5</f>
        <v>0</v>
      </c>
      <c r="G104" s="153">
        <f>Before!$E$6</f>
        <v>0</v>
      </c>
      <c r="H104" s="153">
        <f>Before!$E$5</f>
        <v>0</v>
      </c>
      <c r="I104" s="153">
        <f>Before!$E$4</f>
        <v>0</v>
      </c>
      <c r="J104" s="156" t="str">
        <f>Before!G$5</f>
        <v>doh</v>
      </c>
      <c r="K104" s="151" t="s">
        <v>273</v>
      </c>
      <c r="L104" s="151" t="s">
        <v>270</v>
      </c>
      <c r="M104" s="151" t="str">
        <f>After!B46</f>
        <v>DSTB discharge sputa required list</v>
      </c>
      <c r="P104" s="151">
        <f>After!C46</f>
        <v>0</v>
      </c>
    </row>
    <row r="105" spans="2:17" x14ac:dyDescent="0.3">
      <c r="B105" s="153" t="str">
        <f>After!E$3</f>
        <v>Monthly DQA</v>
      </c>
      <c r="C105" s="153" t="str">
        <f>After!G$3</f>
        <v>DS-TB</v>
      </c>
      <c r="D105" s="153" t="str">
        <f>After!C$3</f>
        <v>After</v>
      </c>
      <c r="E105" s="153" t="str">
        <f>Before!$C$4</f>
        <v>Zolile Nonzapa</v>
      </c>
      <c r="F105" s="154">
        <f>Before!$C$5</f>
        <v>0</v>
      </c>
      <c r="G105" s="153">
        <f>Before!$E$6</f>
        <v>0</v>
      </c>
      <c r="H105" s="153">
        <f>Before!$E$5</f>
        <v>0</v>
      </c>
      <c r="I105" s="153">
        <f>Before!$E$4</f>
        <v>0</v>
      </c>
      <c r="J105" s="156" t="str">
        <f>Before!G$5</f>
        <v>doh</v>
      </c>
      <c r="K105" s="151" t="s">
        <v>273</v>
      </c>
      <c r="L105" s="151" t="s">
        <v>270</v>
      </c>
      <c r="M105" s="151" t="str">
        <f>After!B47</f>
        <v>DSTB outstanding outcomes list</v>
      </c>
      <c r="P105" s="151">
        <f>After!C47</f>
        <v>0</v>
      </c>
    </row>
    <row r="106" spans="2:17" x14ac:dyDescent="0.3">
      <c r="B106" s="153" t="str">
        <f>After!E$3</f>
        <v>Monthly DQA</v>
      </c>
      <c r="C106" s="153" t="str">
        <f>After!G$3</f>
        <v>DS-TB</v>
      </c>
      <c r="D106" s="153" t="str">
        <f>After!C$3</f>
        <v>After</v>
      </c>
      <c r="E106" s="153" t="str">
        <f>Before!$C$4</f>
        <v>Zolile Nonzapa</v>
      </c>
      <c r="F106" s="154">
        <f>Before!$C$5</f>
        <v>0</v>
      </c>
      <c r="G106" s="153">
        <f>Before!$E$6</f>
        <v>0</v>
      </c>
      <c r="H106" s="153">
        <f>Before!$E$5</f>
        <v>0</v>
      </c>
      <c r="I106" s="153">
        <f>Before!$E$4</f>
        <v>0</v>
      </c>
      <c r="J106" s="156" t="str">
        <f>Before!G$5</f>
        <v>doh</v>
      </c>
      <c r="K106" s="151" t="s">
        <v>273</v>
      </c>
      <c r="L106" s="151" t="s">
        <v>270</v>
      </c>
      <c r="M106" s="151" t="str">
        <f>After!B48</f>
        <v>HIV status missing</v>
      </c>
      <c r="P106" s="151">
        <f>After!C48</f>
        <v>0</v>
      </c>
    </row>
    <row r="107" spans="2:17" x14ac:dyDescent="0.3">
      <c r="B107" s="153" t="str">
        <f>After!E$3</f>
        <v>Monthly DQA</v>
      </c>
      <c r="C107" s="153" t="str">
        <f>After!G$3</f>
        <v>DS-TB</v>
      </c>
      <c r="D107" s="153" t="str">
        <f>After!C$3</f>
        <v>After</v>
      </c>
      <c r="E107" s="153" t="str">
        <f>Before!$C$4</f>
        <v>Zolile Nonzapa</v>
      </c>
      <c r="F107" s="154">
        <f>Before!$C$5</f>
        <v>0</v>
      </c>
      <c r="G107" s="153">
        <f>Before!$E$6</f>
        <v>0</v>
      </c>
      <c r="H107" s="153">
        <f>Before!$E$5</f>
        <v>0</v>
      </c>
      <c r="I107" s="153">
        <f>Before!$E$4</f>
        <v>0</v>
      </c>
      <c r="J107" s="156" t="str">
        <f>Before!G$5</f>
        <v>doh</v>
      </c>
      <c r="K107" s="151" t="s">
        <v>273</v>
      </c>
      <c r="L107" s="151" t="s">
        <v>270</v>
      </c>
      <c r="M107" s="151" t="str">
        <f>After!B49</f>
        <v>Early missed appointments</v>
      </c>
      <c r="P107" s="151">
        <f>After!C49</f>
        <v>0</v>
      </c>
    </row>
    <row r="108" spans="2:17" x14ac:dyDescent="0.3">
      <c r="B108" s="153" t="str">
        <f>After!E$3</f>
        <v>Monthly DQA</v>
      </c>
      <c r="C108" s="153" t="str">
        <f>After!G$3</f>
        <v>DS-TB</v>
      </c>
      <c r="D108" s="153" t="str">
        <f>After!C$3</f>
        <v>After</v>
      </c>
      <c r="E108" s="153" t="str">
        <f>Before!$C$4</f>
        <v>Zolile Nonzapa</v>
      </c>
      <c r="F108" s="154">
        <f>Before!$C$5</f>
        <v>0</v>
      </c>
      <c r="G108" s="153">
        <f>Before!$E$6</f>
        <v>0</v>
      </c>
      <c r="H108" s="153">
        <f>Before!$E$5</f>
        <v>0</v>
      </c>
      <c r="I108" s="153">
        <f>Before!$E$4</f>
        <v>0</v>
      </c>
      <c r="J108" s="156" t="str">
        <f>Before!G$5</f>
        <v>doh</v>
      </c>
      <c r="K108" s="151" t="s">
        <v>273</v>
      </c>
      <c r="L108" s="151" t="s">
        <v>270</v>
      </c>
      <c r="M108" s="151" t="str">
        <f>After!B50</f>
        <v>Late missed appointments</v>
      </c>
      <c r="P108" s="151">
        <f>After!C50</f>
        <v>0</v>
      </c>
    </row>
    <row r="109" spans="2:17" x14ac:dyDescent="0.3">
      <c r="B109" s="156" t="str">
        <f>After!E$3</f>
        <v>Monthly DQA</v>
      </c>
      <c r="C109" s="156" t="str">
        <f>After!G$3</f>
        <v>DS-TB</v>
      </c>
      <c r="D109" s="156" t="str">
        <f>After!C$3</f>
        <v>After</v>
      </c>
      <c r="E109" s="153" t="str">
        <f>Before!$C$4</f>
        <v>Zolile Nonzapa</v>
      </c>
      <c r="F109" s="154">
        <f>Before!$C$5</f>
        <v>0</v>
      </c>
      <c r="G109" s="153">
        <f>Before!$E$6</f>
        <v>0</v>
      </c>
      <c r="H109" s="153">
        <f>Before!$E$5</f>
        <v>0</v>
      </c>
      <c r="I109" s="153">
        <f>Before!$E$4</f>
        <v>0</v>
      </c>
      <c r="J109" s="156" t="str">
        <f>Before!G$5</f>
        <v>doh</v>
      </c>
      <c r="K109" s="151" t="s">
        <v>273</v>
      </c>
      <c r="L109" s="151" t="s">
        <v>270</v>
      </c>
      <c r="M109" s="151" t="str">
        <f>After!B51</f>
        <v>DSTB HIV&amp;ART status (oustanding start)</v>
      </c>
      <c r="P109" s="151">
        <f>After!C51</f>
        <v>0</v>
      </c>
    </row>
    <row r="110" spans="2:17" x14ac:dyDescent="0.3">
      <c r="B110" s="156" t="str">
        <f>After!E$3</f>
        <v>Monthly DQA</v>
      </c>
      <c r="C110" s="156" t="str">
        <f>After!G$3</f>
        <v>DS-TB</v>
      </c>
      <c r="D110" s="156" t="str">
        <f>After!C$3</f>
        <v>After</v>
      </c>
      <c r="E110" s="153" t="str">
        <f>Before!$C$4</f>
        <v>Zolile Nonzapa</v>
      </c>
      <c r="F110" s="154">
        <f>Before!$C$5</f>
        <v>0</v>
      </c>
      <c r="G110" s="153">
        <f>Before!$E$6</f>
        <v>0</v>
      </c>
      <c r="H110" s="153">
        <f>Before!$E$5</f>
        <v>0</v>
      </c>
      <c r="I110" s="153">
        <f>Before!$E$4</f>
        <v>0</v>
      </c>
      <c r="J110" s="156" t="str">
        <f>Before!G$5</f>
        <v>doh</v>
      </c>
      <c r="K110" s="151" t="s">
        <v>273</v>
      </c>
      <c r="L110" s="151" t="s">
        <v>270</v>
      </c>
      <c r="M110" s="151" t="str">
        <f>After!B52</f>
        <v>Transfer out list</v>
      </c>
      <c r="P110" s="151">
        <f>After!C52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d6fe41-93d8-4e8a-aa6b-7dd614f048c5" xsi:nil="true"/>
    <lcf76f155ced4ddcb4097134ff3c332f xmlns="d18dcc54-d946-415b-93c7-1be4181ec4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E955096F5FE4992B48268E91DDA68" ma:contentTypeVersion="13" ma:contentTypeDescription="Create a new document." ma:contentTypeScope="" ma:versionID="9ac396eae66ca7ff1d3ce1e45a9a6782">
  <xsd:schema xmlns:xsd="http://www.w3.org/2001/XMLSchema" xmlns:xs="http://www.w3.org/2001/XMLSchema" xmlns:p="http://schemas.microsoft.com/office/2006/metadata/properties" xmlns:ns2="d18dcc54-d946-415b-93c7-1be4181ec4f6" xmlns:ns3="39d6fe41-93d8-4e8a-aa6b-7dd614f048c5" targetNamespace="http://schemas.microsoft.com/office/2006/metadata/properties" ma:root="true" ma:fieldsID="3ff62ed12491f594ad8e97e775db9637" ns2:_="" ns3:_="">
    <xsd:import namespace="d18dcc54-d946-415b-93c7-1be4181ec4f6"/>
    <xsd:import namespace="39d6fe41-93d8-4e8a-aa6b-7dd614f048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dcc54-d946-415b-93c7-1be4181ec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1e443d-e462-4a6b-8e23-5d2d48ea58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6fe41-93d8-4e8a-aa6b-7dd614f048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4072458-c236-4695-81ce-d5997cb4bd32}" ma:internalName="TaxCatchAll" ma:showField="CatchAllData" ma:web="39d6fe41-93d8-4e8a-aa6b-7dd614f048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A86064-5A15-4DC6-930C-B386C1E32406}">
  <ds:schemaRefs>
    <ds:schemaRef ds:uri="http://schemas.microsoft.com/office/2006/metadata/properties"/>
    <ds:schemaRef ds:uri="http://schemas.microsoft.com/office/infopath/2007/PartnerControls"/>
    <ds:schemaRef ds:uri="39d6fe41-93d8-4e8a-aa6b-7dd614f048c5"/>
    <ds:schemaRef ds:uri="d18dcc54-d946-415b-93c7-1be4181ec4f6"/>
  </ds:schemaRefs>
</ds:datastoreItem>
</file>

<file path=customXml/itemProps2.xml><?xml version="1.0" encoding="utf-8"?>
<ds:datastoreItem xmlns:ds="http://schemas.openxmlformats.org/officeDocument/2006/customXml" ds:itemID="{1545D560-B60E-46BC-8027-57F0715514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955714-A091-44ED-BFFD-E522DC9AD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dcc54-d946-415b-93c7-1be4181ec4f6"/>
    <ds:schemaRef ds:uri="39d6fe41-93d8-4e8a-aa6b-7dd614f048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ICD10 codes</vt:lpstr>
      <vt:lpstr>Quality assurance</vt:lpstr>
      <vt:lpstr>TB stationery checklist</vt:lpstr>
      <vt:lpstr>Before</vt:lpstr>
      <vt:lpstr>After</vt:lpstr>
      <vt:lpstr>Training</vt:lpstr>
      <vt:lpstr>Training validation sheet</vt:lpstr>
      <vt:lpstr>Power  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Prudence Kandi</dc:creator>
  <cp:keywords/>
  <dc:description/>
  <cp:lastModifiedBy>Zolile Nonzapa</cp:lastModifiedBy>
  <cp:revision/>
  <dcterms:created xsi:type="dcterms:W3CDTF">2024-02-21T10:47:08Z</dcterms:created>
  <dcterms:modified xsi:type="dcterms:W3CDTF">2025-01-27T06:48:04Z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0x01010049CE955096F5FE4992B48268E91DDA68</vt:lpwstr>
  </property>
  <property fmtid="{D5CDD505-2E9C-101B-9397-08002B2CF9AE}" pid="3" name="MSIP_Label_b5e03609-26fe-498a-b72e-391fa1435644_Enabled">
    <vt:lpwstr>true</vt:lpwstr>
  </property>
  <property fmtid="{D5CDD505-2E9C-101B-9397-08002B2CF9AE}" pid="4" name="MSIP_Label_b5e03609-26fe-498a-b72e-391fa1435644_SetDate">
    <vt:lpwstr>2024-08-02T07:43:19Z</vt:lpwstr>
  </property>
  <property fmtid="{D5CDD505-2E9C-101B-9397-08002B2CF9AE}" pid="5" name="MSIP_Label_b5e03609-26fe-498a-b72e-391fa1435644_Method">
    <vt:lpwstr>Privileged</vt:lpwstr>
  </property>
  <property fmtid="{D5CDD505-2E9C-101B-9397-08002B2CF9AE}" pid="6" name="MSIP_Label_b5e03609-26fe-498a-b72e-391fa1435644_Name">
    <vt:lpwstr>Business Confidential</vt:lpwstr>
  </property>
  <property fmtid="{D5CDD505-2E9C-101B-9397-08002B2CF9AE}" pid="7" name="MSIP_Label_b5e03609-26fe-498a-b72e-391fa1435644_SiteId">
    <vt:lpwstr>70682427-7a66-4bae-9f42-f702a8ba8b2a</vt:lpwstr>
  </property>
  <property fmtid="{D5CDD505-2E9C-101B-9397-08002B2CF9AE}" pid="8" name="MSIP_Label_b5e03609-26fe-498a-b72e-391fa1435644_ActionId">
    <vt:lpwstr>926648c4-63cc-4dfe-92ef-5136a4ac1f7a</vt:lpwstr>
  </property>
  <property fmtid="{D5CDD505-2E9C-101B-9397-08002B2CF9AE}" pid="9" name="MSIP_Label_b5e03609-26fe-498a-b72e-391fa1435644_ContentBits">
    <vt:lpwstr>0</vt:lpwstr>
  </property>
  <property fmtid="{D5CDD505-2E9C-101B-9397-08002B2CF9AE}" pid="10" name="MediaServiceImageTags">
    <vt:lpwstr/>
  </property>
</Properties>
</file>